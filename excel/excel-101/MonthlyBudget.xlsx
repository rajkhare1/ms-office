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jkhare/Raj/Udemy/ms-office/excel/excel-101/"/>
    </mc:Choice>
  </mc:AlternateContent>
  <xr:revisionPtr revIDLastSave="0" documentId="13_ncr:1_{FC750FD5-C2C7-174C-BA6B-B9F5C79EBFD4}" xr6:coauthVersionLast="47" xr6:coauthVersionMax="47" xr10:uidLastSave="{00000000-0000-0000-0000-000000000000}"/>
  <bookViews>
    <workbookView xWindow="0" yWindow="680" windowWidth="29400" windowHeight="16720" activeTab="1" xr2:uid="{61CE2942-B3C2-844E-8245-A989A6B80F58}"/>
  </bookViews>
  <sheets>
    <sheet name="Chart Monthly Budget" sheetId="3" r:id="rId1"/>
    <sheet name="Monthly Budge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1" i="1"/>
  <c r="F10" i="1"/>
  <c r="F9" i="1"/>
  <c r="F8" i="1"/>
  <c r="F7" i="1"/>
  <c r="F6" i="1"/>
  <c r="F5" i="1"/>
  <c r="D13" i="1"/>
  <c r="E13" i="1"/>
  <c r="C13" i="1"/>
  <c r="E18" i="1"/>
  <c r="D18" i="1"/>
  <c r="C18" i="1"/>
  <c r="E17" i="1"/>
  <c r="D17" i="1"/>
  <c r="C17" i="1"/>
  <c r="E16" i="1"/>
  <c r="D16" i="1"/>
  <c r="C16" i="1"/>
  <c r="E15" i="1"/>
  <c r="D15" i="1"/>
  <c r="C15" i="1"/>
  <c r="F17" i="1" l="1"/>
  <c r="F13" i="1"/>
  <c r="F16" i="1"/>
  <c r="F18" i="1"/>
  <c r="F15" i="1"/>
  <c r="G13" i="1" l="1"/>
  <c r="G6" i="1"/>
  <c r="G7" i="1"/>
  <c r="G9" i="1"/>
  <c r="G10" i="1"/>
  <c r="G11" i="1"/>
  <c r="G12" i="1"/>
  <c r="G5" i="1"/>
  <c r="G8" i="1"/>
</calcChain>
</file>

<file path=xl/sharedStrings.xml><?xml version="1.0" encoding="utf-8"?>
<sst xmlns="http://schemas.openxmlformats.org/spreadsheetml/2006/main" count="18" uniqueCount="17">
  <si>
    <t>Bills</t>
  </si>
  <si>
    <t>Rent</t>
  </si>
  <si>
    <t>Phone</t>
  </si>
  <si>
    <t>Credit Cards</t>
  </si>
  <si>
    <t xml:space="preserve">Food </t>
  </si>
  <si>
    <t>Total</t>
  </si>
  <si>
    <t>Petrol</t>
  </si>
  <si>
    <t>Tution Fees</t>
  </si>
  <si>
    <t>Fitness</t>
  </si>
  <si>
    <t>Entertainment</t>
  </si>
  <si>
    <t>Percent</t>
  </si>
  <si>
    <t>MIN</t>
  </si>
  <si>
    <t>MAX</t>
  </si>
  <si>
    <t>AVERAGE</t>
  </si>
  <si>
    <t>COUNT</t>
  </si>
  <si>
    <t xml:space="preserve"> </t>
  </si>
  <si>
    <t>2025 Monthly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</si>
</sst>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mmm\-yyyy"/>
    <numFmt numFmtId="165" formatCode="_ [$₹-4009]\ * #,##0.00_ ;_ [$₹-4009]\ * \-#,##0.00_ ;_ [$₹-4009]\ * &quot;-&quot;??_ ;_ @_ "/>
    <numFmt numFmtId="166" formatCode="0.0%"/>
  </numFmts>
  <fonts count="4" x14ac:knownFonts="1">
    <font>
      <sz val="12"/>
      <color theme="1"/>
      <name val="Calibri"/>
      <family val="2"/>
      <scheme val="minor"/>
    </font>
    <font>
      <b/>
      <sz val="24"/>
      <color theme="0"/>
      <name val="Arial Black"/>
      <family val="2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</patternFill>
    </fill>
  </fills>
  <borders count="3">
    <border>
      <left/>
      <right/>
      <top/>
      <bottom/>
      <diagonal/>
    </border>
    <border>
      <left/>
      <right/>
      <top/>
      <bottom style="thick">
        <color theme="5"/>
      </bottom>
      <diagonal/>
    </border>
    <border>
      <left/>
      <right/>
      <top/>
      <bottom style="thick">
        <color auto="1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4" borderId="2" applyNumberFormat="0"/>
  </cellStyleXfs>
  <cellXfs count="9">
    <xf numFmtId="0" fontId="0" fillId="0" borderId="0" xfId="0"/>
    <xf numFmtId="165" fontId="0" fillId="0" borderId="0" xfId="0" applyNumberFormat="1"/>
    <xf numFmtId="43" fontId="0" fillId="0" borderId="0" xfId="1" applyFont="1"/>
    <xf numFmtId="166" fontId="0" fillId="0" borderId="0" xfId="2" applyNumberFormat="1" applyFont="1"/>
    <xf numFmtId="0" fontId="3" fillId="3" borderId="0" xfId="0" applyFont="1" applyFill="1" applyAlignment="1">
      <alignment horizontal="right"/>
    </xf>
    <xf numFmtId="0" fontId="3" fillId="4" borderId="2" xfId="3"/>
    <xf numFmtId="164" fontId="3" fillId="4" borderId="2" xfId="3" applyNumberFormat="1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4">
    <cellStyle name="AwesomeStyle" xfId="3" xr:uid="{0FC19754-6B15-7D41-8A87-4B406E4C2DC9}"/>
    <cellStyle name="Comma" xfId="1" builtinId="3"/>
    <cellStyle name="Normal" xfId="0" builtinId="0"/>
    <cellStyle name="Percent" xfId="2" builtinId="5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'Monthly Budget'!$B$2:$G$2</c:f>
          <c:strCache>
            <c:ptCount val="6"/>
            <c:pt idx="0">
              <c:v>2025 Monthly Budget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'Monthly Budget'!$B$5</c:f>
              <c:strCache>
                <c:ptCount val="1"/>
                <c:pt idx="0">
                  <c:v>Rent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Budget'!$C$5:$E$5</c:f>
              <c:numCache>
                <c:formatCode>_ [$₹-4009]\ * #,##0.00_ ;_ [$₹-4009]\ * \-#,##0.00_ ;_ [$₹-4009]\ * "-"??_ ;_ @_ </c:formatCode>
                <c:ptCount val="3"/>
                <c:pt idx="0">
                  <c:v>19000</c:v>
                </c:pt>
                <c:pt idx="1">
                  <c:v>19000</c:v>
                </c:pt>
                <c:pt idx="2">
                  <c:v>19000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B0-DE45-8719-85C44EDC644F}"/>
            </c:ext>
          </c:extLst>
        </c:ser>
        <c:ser>
          <c:idx val="1"/>
          <c:order val="1"/>
          <c:tx>
            <c:strRef>
              <c:f>'Monthly Budget'!$B$6</c:f>
              <c:strCache>
                <c:ptCount val="1"/>
                <c:pt idx="0">
                  <c:v>Phone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Budget'!$C$6:$E$6</c:f>
              <c:numCache>
                <c:formatCode>_(* #,##0.00_);_(* \(#,##0.00\);_(* "-"??_);_(@_)</c:formatCode>
                <c:ptCount val="3"/>
                <c:pt idx="0">
                  <c:v>600</c:v>
                </c:pt>
                <c:pt idx="1">
                  <c:v>600</c:v>
                </c:pt>
                <c:pt idx="2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B0-DE45-8719-85C44EDC644F}"/>
            </c:ext>
          </c:extLst>
        </c:ser>
        <c:ser>
          <c:idx val="2"/>
          <c:order val="2"/>
          <c:tx>
            <c:strRef>
              <c:f>'Monthly Budget'!$B$7</c:f>
              <c:strCache>
                <c:ptCount val="1"/>
                <c:pt idx="0">
                  <c:v>Credit Cards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Budget'!$C$7:$E$7</c:f>
              <c:numCache>
                <c:formatCode>_(* #,##0.00_);_(* \(#,##0.00\);_(* "-"??_);_(@_)</c:formatCode>
                <c:ptCount val="3"/>
                <c:pt idx="0">
                  <c:v>8000</c:v>
                </c:pt>
                <c:pt idx="1">
                  <c:v>7000</c:v>
                </c:pt>
                <c:pt idx="2">
                  <c:v>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B0-DE45-8719-85C44EDC644F}"/>
            </c:ext>
          </c:extLst>
        </c:ser>
        <c:ser>
          <c:idx val="3"/>
          <c:order val="3"/>
          <c:tx>
            <c:strRef>
              <c:f>'Monthly Budget'!$B$8</c:f>
              <c:strCache>
                <c:ptCount val="1"/>
                <c:pt idx="0">
                  <c:v>Food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Budget'!$C$8:$E$8</c:f>
              <c:numCache>
                <c:formatCode>_(* #,##0.00_);_(* \(#,##0.00\);_(* "-"??_);_(@_)</c:formatCode>
                <c:ptCount val="3"/>
                <c:pt idx="0">
                  <c:v>14000</c:v>
                </c:pt>
                <c:pt idx="1">
                  <c:v>15000</c:v>
                </c:pt>
                <c:pt idx="2">
                  <c:v>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FB0-DE45-8719-85C44EDC644F}"/>
            </c:ext>
          </c:extLst>
        </c:ser>
        <c:ser>
          <c:idx val="4"/>
          <c:order val="4"/>
          <c:tx>
            <c:strRef>
              <c:f>'Monthly Budget'!$B$9</c:f>
              <c:strCache>
                <c:ptCount val="1"/>
                <c:pt idx="0">
                  <c:v>Petrol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Budget'!$C$9:$E$9</c:f>
              <c:numCache>
                <c:formatCode>_(* #,##0.00_);_(* \(#,##0.00\);_(* "-"??_);_(@_)</c:formatCode>
                <c:ptCount val="3"/>
                <c:pt idx="0">
                  <c:v>1500</c:v>
                </c:pt>
                <c:pt idx="1">
                  <c:v>1200</c:v>
                </c:pt>
                <c:pt idx="2">
                  <c:v>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FB0-DE45-8719-85C44EDC644F}"/>
            </c:ext>
          </c:extLst>
        </c:ser>
        <c:ser>
          <c:idx val="5"/>
          <c:order val="5"/>
          <c:tx>
            <c:strRef>
              <c:f>'Monthly Budget'!$B$10</c:f>
              <c:strCache>
                <c:ptCount val="1"/>
                <c:pt idx="0">
                  <c:v>Tution Fees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Budget'!$C$10:$E$10</c:f>
              <c:numCache>
                <c:formatCode>_(* #,##0.00_);_(* \(#,##0.00\);_(* "-"??_);_(@_)</c:formatCode>
                <c:ptCount val="3"/>
                <c:pt idx="0">
                  <c:v>5000</c:v>
                </c:pt>
                <c:pt idx="1">
                  <c:v>5000</c:v>
                </c:pt>
                <c:pt idx="2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FB0-DE45-8719-85C44EDC644F}"/>
            </c:ext>
          </c:extLst>
        </c:ser>
        <c:ser>
          <c:idx val="6"/>
          <c:order val="6"/>
          <c:tx>
            <c:strRef>
              <c:f>'Monthly Budget'!$B$11</c:f>
              <c:strCache>
                <c:ptCount val="1"/>
                <c:pt idx="0">
                  <c:v>Fitness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Budget'!$C$11:$E$11</c:f>
              <c:numCache>
                <c:formatCode>_(* #,##0.00_);_(* \(#,##0.00\);_(* "-"??_);_(@_)</c:formatCode>
                <c:ptCount val="3"/>
                <c:pt idx="0">
                  <c:v>6000</c:v>
                </c:pt>
                <c:pt idx="1">
                  <c:v>6000</c:v>
                </c:pt>
                <c:pt idx="2">
                  <c:v>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FB0-DE45-8719-85C44EDC644F}"/>
            </c:ext>
          </c:extLst>
        </c:ser>
        <c:ser>
          <c:idx val="7"/>
          <c:order val="7"/>
          <c:tx>
            <c:strRef>
              <c:f>'Monthly Budget'!$B$12</c:f>
              <c:strCache>
                <c:ptCount val="1"/>
                <c:pt idx="0">
                  <c:v>Entertainment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Budget'!$C$12:$E$12</c:f>
              <c:numCache>
                <c:formatCode>_(* #,##0.00_);_(* \(#,##0.00\);_(* "-"??_);_(@_)</c:formatCode>
                <c:ptCount val="3"/>
                <c:pt idx="0">
                  <c:v>450</c:v>
                </c:pt>
                <c:pt idx="1">
                  <c:v>500</c:v>
                </c:pt>
                <c:pt idx="2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FB0-DE45-8719-85C44EDC64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74791807"/>
        <c:axId val="2047288064"/>
      </c:barChart>
      <c:catAx>
        <c:axId val="74791807"/>
        <c:scaling>
          <c:orientation val="minMax"/>
        </c:scaling>
        <c:delete val="0"/>
        <c:axPos val="b"/>
        <c:numFmt formatCode="mmm\-yy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7288064"/>
        <c:crosses val="autoZero"/>
        <c:auto val="0"/>
        <c:lblAlgn val="ctr"/>
        <c:lblOffset val="100"/>
        <c:noMultiLvlLbl val="0"/>
      </c:catAx>
      <c:valAx>
        <c:axId val="204728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 [$₹-4009]\ * #,##0.00_ ;_ [$₹-4009]\ * \-#,##0.00_ ;_ [$₹-4009]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91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'Monthly Budget'!$D$4</c:f>
              <c:strCache>
                <c:ptCount val="1"/>
                <c:pt idx="0">
                  <c:v>Feb-2025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824A-3241-9634-C4AF16EF75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24A-3241-9634-C4AF16EF75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824A-3241-9634-C4AF16EF75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824A-3241-9634-C4AF16EF75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24A-3241-9634-C4AF16EF75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824A-3241-9634-C4AF16EF75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24A-3241-9634-C4AF16EF75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24A-3241-9634-C4AF16EF75D7}"/>
              </c:ext>
            </c:extLst>
          </c:dPt>
          <c:dLbls>
            <c:dLbl>
              <c:idx val="0"/>
              <c:layout>
                <c:manualLayout>
                  <c:x val="6.9444444444444448E-2"/>
                  <c:y val="-0.1527777777777778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24A-3241-9634-C4AF16EF75D7}"/>
                </c:ext>
              </c:extLst>
            </c:dLbl>
            <c:dLbl>
              <c:idx val="1"/>
              <c:layout>
                <c:manualLayout>
                  <c:x val="4.7222222222222221E-2"/>
                  <c:y val="0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24A-3241-9634-C4AF16EF75D7}"/>
                </c:ext>
              </c:extLst>
            </c:dLbl>
            <c:dLbl>
              <c:idx val="2"/>
              <c:layout>
                <c:manualLayout>
                  <c:x val="0.14999999999999991"/>
                  <c:y val="4.1666666666666755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24A-3241-9634-C4AF16EF75D7}"/>
                </c:ext>
              </c:extLst>
            </c:dLbl>
            <c:dLbl>
              <c:idx val="3"/>
              <c:layout>
                <c:manualLayout>
                  <c:x val="-0.15555555555555559"/>
                  <c:y val="-2.3148148148148147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24A-3241-9634-C4AF16EF75D7}"/>
                </c:ext>
              </c:extLst>
            </c:dLbl>
            <c:dLbl>
              <c:idx val="4"/>
              <c:layout>
                <c:manualLayout>
                  <c:x val="-0.1277777777777778"/>
                  <c:y val="-5.0925925925925881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24A-3241-9634-C4AF16EF75D7}"/>
                </c:ext>
              </c:extLst>
            </c:dLbl>
            <c:dLbl>
              <c:idx val="5"/>
              <c:layout>
                <c:manualLayout>
                  <c:x val="-7.2222222222222215E-2"/>
                  <c:y val="-7.407407407407407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24A-3241-9634-C4AF16EF75D7}"/>
                </c:ext>
              </c:extLst>
            </c:dLbl>
            <c:dLbl>
              <c:idx val="6"/>
              <c:layout>
                <c:manualLayout>
                  <c:x val="-5.2777777777777826E-2"/>
                  <c:y val="-6.018518518518521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24A-3241-9634-C4AF16EF75D7}"/>
                </c:ext>
              </c:extLst>
            </c:dLbl>
            <c:dLbl>
              <c:idx val="7"/>
              <c:layout>
                <c:manualLayout>
                  <c:x val="6.6666666666666666E-2"/>
                  <c:y val="-2.3148148148148168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24A-3241-9634-C4AF16EF75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eparator>,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'Monthly Budget'!$B$5:$B$12</c:f>
              <c:strCache>
                <c:ptCount val="8"/>
                <c:pt idx="0">
                  <c:v>Rent</c:v>
                </c:pt>
                <c:pt idx="1">
                  <c:v>Phone</c:v>
                </c:pt>
                <c:pt idx="2">
                  <c:v>Credit Cards</c:v>
                </c:pt>
                <c:pt idx="3">
                  <c:v>Food </c:v>
                </c:pt>
                <c:pt idx="4">
                  <c:v>Petrol</c:v>
                </c:pt>
                <c:pt idx="5">
                  <c:v>Tution Fees</c:v>
                </c:pt>
                <c:pt idx="6">
                  <c:v>Fitness</c:v>
                </c:pt>
                <c:pt idx="7">
                  <c:v>Entertainment</c:v>
                </c:pt>
              </c:strCache>
            </c:strRef>
          </c:cat>
          <c:val>
            <c:numRef>
              <c:f>'Monthly Budget'!$D$5:$D$12</c:f>
              <c:numCache>
                <c:formatCode>_(* #,##0.00_);_(* \(#,##0.00\);_(* "-"??_);_(@_)</c:formatCode>
                <c:ptCount val="8"/>
                <c:pt idx="0" formatCode="_ [$₹-4009]\ * #,##0.00_ ;_ [$₹-4009]\ * \-#,##0.00_ ;_ [$₹-4009]\ * &quot;-&quot;??_ ;_ @_ ">
                  <c:v>19000</c:v>
                </c:pt>
                <c:pt idx="1">
                  <c:v>600</c:v>
                </c:pt>
                <c:pt idx="2">
                  <c:v>7000</c:v>
                </c:pt>
                <c:pt idx="3">
                  <c:v>15000</c:v>
                </c:pt>
                <c:pt idx="4">
                  <c:v>1200</c:v>
                </c:pt>
                <c:pt idx="5">
                  <c:v>5000</c:v>
                </c:pt>
                <c:pt idx="6">
                  <c:v>6000</c:v>
                </c:pt>
                <c:pt idx="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4A-3241-9634-C4AF16EF75D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5C9785A-194E-7F4D-BAC7-855406E9F469}">
  <sheetPr/>
  <sheetViews>
    <sheetView zoomScale="124" workbookViewId="0" zoomToFit="1"/>
  </sheetViews>
  <pageMargins left="0.7" right="0.7" top="0.75" bottom="0.75" header="0.3" footer="0.3"/>
  <pageSetup paperSize="9" orientation="landscape" horizontalDpi="0" verticalDpi="0"/>
  <drawing r:id="rId1"/>
</chartsheet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DA73243E-CF10-0347-86B2-C1DAD714497A}" type="doc">
      <dgm:prSet loTypeId="urn:microsoft.com/office/officeart/2005/8/layout/hProcess9" loCatId="" qsTypeId="urn:microsoft.com/office/officeart/2005/8/quickstyle/simple1" qsCatId="simple" csTypeId="urn:microsoft.com/office/officeart/2005/8/colors/accent1_2" csCatId="accent1" phldr="1"/>
      <dgm:spPr/>
    </dgm:pt>
    <dgm:pt modelId="{86278291-8C77-664F-8691-73208CED0134}">
      <dgm:prSet phldrT="[Text]"/>
      <dgm:spPr/>
      <dgm:t>
        <a:bodyPr/>
        <a:lstStyle/>
        <a:p>
          <a:r>
            <a:rPr lang="en-US"/>
            <a:t>Make Money</a:t>
          </a:r>
        </a:p>
      </dgm:t>
    </dgm:pt>
    <dgm:pt modelId="{5C3765D5-FB8A-0641-ABD8-C975BE98BC73}" type="parTrans" cxnId="{84B394DC-CD65-F54C-A8DA-5E8A5F85381A}">
      <dgm:prSet/>
      <dgm:spPr/>
      <dgm:t>
        <a:bodyPr/>
        <a:lstStyle/>
        <a:p>
          <a:endParaRPr lang="en-US"/>
        </a:p>
      </dgm:t>
    </dgm:pt>
    <dgm:pt modelId="{872BB387-6939-A545-AFB7-B4616C449743}" type="sibTrans" cxnId="{84B394DC-CD65-F54C-A8DA-5E8A5F85381A}">
      <dgm:prSet/>
      <dgm:spPr/>
      <dgm:t>
        <a:bodyPr/>
        <a:lstStyle/>
        <a:p>
          <a:endParaRPr lang="en-US"/>
        </a:p>
      </dgm:t>
    </dgm:pt>
    <dgm:pt modelId="{407574FC-1346-D042-83AA-DB8364C3845E}">
      <dgm:prSet phldrT="[Text]"/>
      <dgm:spPr/>
      <dgm:t>
        <a:bodyPr/>
        <a:lstStyle/>
        <a:p>
          <a:r>
            <a:rPr lang="en-US"/>
            <a:t>Spend Money</a:t>
          </a:r>
        </a:p>
      </dgm:t>
    </dgm:pt>
    <dgm:pt modelId="{CA14F8B3-9F58-914D-A15A-CF7A2EFAF05F}" type="parTrans" cxnId="{2196977C-5572-8C47-AB27-4C634EF4E682}">
      <dgm:prSet/>
      <dgm:spPr/>
      <dgm:t>
        <a:bodyPr/>
        <a:lstStyle/>
        <a:p>
          <a:endParaRPr lang="en-US"/>
        </a:p>
      </dgm:t>
    </dgm:pt>
    <dgm:pt modelId="{685767D0-34E8-F54A-98FA-D9F7F74FF049}" type="sibTrans" cxnId="{2196977C-5572-8C47-AB27-4C634EF4E682}">
      <dgm:prSet/>
      <dgm:spPr/>
      <dgm:t>
        <a:bodyPr/>
        <a:lstStyle/>
        <a:p>
          <a:endParaRPr lang="en-US"/>
        </a:p>
      </dgm:t>
    </dgm:pt>
    <dgm:pt modelId="{AE01C775-9C58-9245-8928-D2414ADD1637}">
      <dgm:prSet phldrT="[Text]"/>
      <dgm:spPr/>
      <dgm:t>
        <a:bodyPr/>
        <a:lstStyle/>
        <a:p>
          <a:r>
            <a:rPr lang="en-US"/>
            <a:t>Track Money</a:t>
          </a:r>
        </a:p>
      </dgm:t>
    </dgm:pt>
    <dgm:pt modelId="{E2E174FF-C6A6-FE4C-939A-71D383396B97}" type="parTrans" cxnId="{2B22734F-7FEA-7E45-AAE2-56BB5984AAF9}">
      <dgm:prSet/>
      <dgm:spPr/>
      <dgm:t>
        <a:bodyPr/>
        <a:lstStyle/>
        <a:p>
          <a:endParaRPr lang="en-US"/>
        </a:p>
      </dgm:t>
    </dgm:pt>
    <dgm:pt modelId="{DF85629C-FF81-B047-BFFC-92B17E22299F}" type="sibTrans" cxnId="{2B22734F-7FEA-7E45-AAE2-56BB5984AAF9}">
      <dgm:prSet/>
      <dgm:spPr/>
      <dgm:t>
        <a:bodyPr/>
        <a:lstStyle/>
        <a:p>
          <a:endParaRPr lang="en-US"/>
        </a:p>
      </dgm:t>
    </dgm:pt>
    <dgm:pt modelId="{AD759771-481D-2240-969E-F4A9AA50CFF4}">
      <dgm:prSet phldrT="[Text]"/>
      <dgm:spPr/>
      <dgm:t>
        <a:bodyPr/>
        <a:lstStyle/>
        <a:p>
          <a:r>
            <a:rPr lang="en-US"/>
            <a:t>Work</a:t>
          </a:r>
        </a:p>
      </dgm:t>
    </dgm:pt>
    <dgm:pt modelId="{74F89E95-65B3-9442-AA45-2712BEB64FD8}" type="parTrans" cxnId="{A485A6F5-D250-AF44-B8EC-3474E2650EF4}">
      <dgm:prSet/>
      <dgm:spPr/>
      <dgm:t>
        <a:bodyPr/>
        <a:lstStyle/>
        <a:p>
          <a:endParaRPr lang="en-US"/>
        </a:p>
      </dgm:t>
    </dgm:pt>
    <dgm:pt modelId="{32D780A8-D305-8D4E-8257-2B4ABDA625E1}" type="sibTrans" cxnId="{A485A6F5-D250-AF44-B8EC-3474E2650EF4}">
      <dgm:prSet/>
      <dgm:spPr/>
      <dgm:t>
        <a:bodyPr/>
        <a:lstStyle/>
        <a:p>
          <a:endParaRPr lang="en-US"/>
        </a:p>
      </dgm:t>
    </dgm:pt>
    <dgm:pt modelId="{D0A6F23F-65B5-9641-9829-AC7295F8C254}">
      <dgm:prSet phldrT="[Text]"/>
      <dgm:spPr/>
      <dgm:t>
        <a:bodyPr/>
        <a:lstStyle/>
        <a:p>
          <a:r>
            <a:rPr lang="en-US"/>
            <a:t>Ask my Mom</a:t>
          </a:r>
        </a:p>
      </dgm:t>
    </dgm:pt>
    <dgm:pt modelId="{1BE733CC-DB05-844A-ADC2-6374EB86DF09}" type="parTrans" cxnId="{FDA8307B-F543-F74B-96DD-CCEB6B994394}">
      <dgm:prSet/>
      <dgm:spPr/>
      <dgm:t>
        <a:bodyPr/>
        <a:lstStyle/>
        <a:p>
          <a:endParaRPr lang="en-US"/>
        </a:p>
      </dgm:t>
    </dgm:pt>
    <dgm:pt modelId="{5078A69F-7C3E-824D-AC88-F5700527B50C}" type="sibTrans" cxnId="{FDA8307B-F543-F74B-96DD-CCEB6B994394}">
      <dgm:prSet/>
      <dgm:spPr/>
      <dgm:t>
        <a:bodyPr/>
        <a:lstStyle/>
        <a:p>
          <a:endParaRPr lang="en-US"/>
        </a:p>
      </dgm:t>
    </dgm:pt>
    <dgm:pt modelId="{1D7B8A7B-CD52-1946-9AC8-307D23BAFF59}">
      <dgm:prSet phldrT="[Text]"/>
      <dgm:spPr/>
      <dgm:t>
        <a:bodyPr/>
        <a:lstStyle/>
        <a:p>
          <a:r>
            <a:rPr lang="en-US"/>
            <a:t>Bills</a:t>
          </a:r>
        </a:p>
      </dgm:t>
    </dgm:pt>
    <dgm:pt modelId="{56DD02A0-A505-FC40-8B68-502E3A465A18}" type="parTrans" cxnId="{DC605987-F931-CD42-A053-CD6FFDC0899D}">
      <dgm:prSet/>
      <dgm:spPr/>
      <dgm:t>
        <a:bodyPr/>
        <a:lstStyle/>
        <a:p>
          <a:endParaRPr lang="en-US"/>
        </a:p>
      </dgm:t>
    </dgm:pt>
    <dgm:pt modelId="{BA1D1D33-599B-514C-81D8-10605A87D392}" type="sibTrans" cxnId="{DC605987-F931-CD42-A053-CD6FFDC0899D}">
      <dgm:prSet/>
      <dgm:spPr/>
      <dgm:t>
        <a:bodyPr/>
        <a:lstStyle/>
        <a:p>
          <a:endParaRPr lang="en-US"/>
        </a:p>
      </dgm:t>
    </dgm:pt>
    <dgm:pt modelId="{065F268C-3E0A-9046-B19D-81F45414472C}">
      <dgm:prSet phldrT="[Text]"/>
      <dgm:spPr/>
      <dgm:t>
        <a:bodyPr/>
        <a:lstStyle/>
        <a:p>
          <a:r>
            <a:rPr lang="en-US"/>
            <a:t>Play</a:t>
          </a:r>
        </a:p>
      </dgm:t>
    </dgm:pt>
    <dgm:pt modelId="{011BE571-FBEE-D94F-864E-628E9F4A072E}" type="parTrans" cxnId="{BDBA0C9A-C8E1-EA4E-BB1D-E8253D82B32C}">
      <dgm:prSet/>
      <dgm:spPr/>
      <dgm:t>
        <a:bodyPr/>
        <a:lstStyle/>
        <a:p>
          <a:endParaRPr lang="en-US"/>
        </a:p>
      </dgm:t>
    </dgm:pt>
    <dgm:pt modelId="{2CE38258-316D-604F-9899-7B3E60EF4445}" type="sibTrans" cxnId="{BDBA0C9A-C8E1-EA4E-BB1D-E8253D82B32C}">
      <dgm:prSet/>
      <dgm:spPr/>
      <dgm:t>
        <a:bodyPr/>
        <a:lstStyle/>
        <a:p>
          <a:endParaRPr lang="en-US"/>
        </a:p>
      </dgm:t>
    </dgm:pt>
    <dgm:pt modelId="{9A7882DE-3FCE-6F4F-A4B3-8D4F0A3C7470}" type="pres">
      <dgm:prSet presAssocID="{DA73243E-CF10-0347-86B2-C1DAD714497A}" presName="CompostProcess" presStyleCnt="0">
        <dgm:presLayoutVars>
          <dgm:dir/>
          <dgm:resizeHandles val="exact"/>
        </dgm:presLayoutVars>
      </dgm:prSet>
      <dgm:spPr/>
    </dgm:pt>
    <dgm:pt modelId="{959E2A50-F053-A340-9FC6-963A616DA26A}" type="pres">
      <dgm:prSet presAssocID="{DA73243E-CF10-0347-86B2-C1DAD714497A}" presName="arrow" presStyleLbl="bgShp" presStyleIdx="0" presStyleCnt="1"/>
      <dgm:spPr/>
    </dgm:pt>
    <dgm:pt modelId="{656DB8B0-0A7A-8042-8952-3CF89307B41D}" type="pres">
      <dgm:prSet presAssocID="{DA73243E-CF10-0347-86B2-C1DAD714497A}" presName="linearProcess" presStyleCnt="0"/>
      <dgm:spPr/>
    </dgm:pt>
    <dgm:pt modelId="{EDF64461-8E06-8C40-975A-019DB6A386D7}" type="pres">
      <dgm:prSet presAssocID="{86278291-8C77-664F-8691-73208CED0134}" presName="textNode" presStyleLbl="node1" presStyleIdx="0" presStyleCnt="3">
        <dgm:presLayoutVars>
          <dgm:bulletEnabled val="1"/>
        </dgm:presLayoutVars>
      </dgm:prSet>
      <dgm:spPr/>
    </dgm:pt>
    <dgm:pt modelId="{BB2C2C49-3757-CB4D-B2FC-D78F349118E8}" type="pres">
      <dgm:prSet presAssocID="{872BB387-6939-A545-AFB7-B4616C449743}" presName="sibTrans" presStyleCnt="0"/>
      <dgm:spPr/>
    </dgm:pt>
    <dgm:pt modelId="{59C49F4E-C86E-FD4A-81A5-F3F3DE96EC27}" type="pres">
      <dgm:prSet presAssocID="{407574FC-1346-D042-83AA-DB8364C3845E}" presName="textNode" presStyleLbl="node1" presStyleIdx="1" presStyleCnt="3">
        <dgm:presLayoutVars>
          <dgm:bulletEnabled val="1"/>
        </dgm:presLayoutVars>
      </dgm:prSet>
      <dgm:spPr/>
    </dgm:pt>
    <dgm:pt modelId="{A0475C97-1A56-F04D-8B8A-0F0EB86E62BA}" type="pres">
      <dgm:prSet presAssocID="{685767D0-34E8-F54A-98FA-D9F7F74FF049}" presName="sibTrans" presStyleCnt="0"/>
      <dgm:spPr/>
    </dgm:pt>
    <dgm:pt modelId="{652C8676-5948-E34F-A9C6-49D86CD1B403}" type="pres">
      <dgm:prSet presAssocID="{AE01C775-9C58-9245-8928-D2414ADD1637}" presName="textNode" presStyleLbl="node1" presStyleIdx="2" presStyleCnt="3">
        <dgm:presLayoutVars>
          <dgm:bulletEnabled val="1"/>
        </dgm:presLayoutVars>
      </dgm:prSet>
      <dgm:spPr/>
    </dgm:pt>
  </dgm:ptLst>
  <dgm:cxnLst>
    <dgm:cxn modelId="{56FE8B22-5A16-214E-A1FA-CC67EDDBB879}" type="presOf" srcId="{AE01C775-9C58-9245-8928-D2414ADD1637}" destId="{652C8676-5948-E34F-A9C6-49D86CD1B403}" srcOrd="0" destOrd="0" presId="urn:microsoft.com/office/officeart/2005/8/layout/hProcess9"/>
    <dgm:cxn modelId="{01471726-DD85-7C44-A573-FAE56856A4FA}" type="presOf" srcId="{065F268C-3E0A-9046-B19D-81F45414472C}" destId="{59C49F4E-C86E-FD4A-81A5-F3F3DE96EC27}" srcOrd="0" destOrd="2" presId="urn:microsoft.com/office/officeart/2005/8/layout/hProcess9"/>
    <dgm:cxn modelId="{2B22734F-7FEA-7E45-AAE2-56BB5984AAF9}" srcId="{DA73243E-CF10-0347-86B2-C1DAD714497A}" destId="{AE01C775-9C58-9245-8928-D2414ADD1637}" srcOrd="2" destOrd="0" parTransId="{E2E174FF-C6A6-FE4C-939A-71D383396B97}" sibTransId="{DF85629C-FF81-B047-BFFC-92B17E22299F}"/>
    <dgm:cxn modelId="{DEAD575B-8068-F24C-B118-180F79F3A05D}" type="presOf" srcId="{DA73243E-CF10-0347-86B2-C1DAD714497A}" destId="{9A7882DE-3FCE-6F4F-A4B3-8D4F0A3C7470}" srcOrd="0" destOrd="0" presId="urn:microsoft.com/office/officeart/2005/8/layout/hProcess9"/>
    <dgm:cxn modelId="{A2283B75-26A6-F344-8995-E7CF3DA3D758}" type="presOf" srcId="{407574FC-1346-D042-83AA-DB8364C3845E}" destId="{59C49F4E-C86E-FD4A-81A5-F3F3DE96EC27}" srcOrd="0" destOrd="0" presId="urn:microsoft.com/office/officeart/2005/8/layout/hProcess9"/>
    <dgm:cxn modelId="{FDA8307B-F543-F74B-96DD-CCEB6B994394}" srcId="{86278291-8C77-664F-8691-73208CED0134}" destId="{D0A6F23F-65B5-9641-9829-AC7295F8C254}" srcOrd="1" destOrd="0" parTransId="{1BE733CC-DB05-844A-ADC2-6374EB86DF09}" sibTransId="{5078A69F-7C3E-824D-AC88-F5700527B50C}"/>
    <dgm:cxn modelId="{2196977C-5572-8C47-AB27-4C634EF4E682}" srcId="{DA73243E-CF10-0347-86B2-C1DAD714497A}" destId="{407574FC-1346-D042-83AA-DB8364C3845E}" srcOrd="1" destOrd="0" parTransId="{CA14F8B3-9F58-914D-A15A-CF7A2EFAF05F}" sibTransId="{685767D0-34E8-F54A-98FA-D9F7F74FF049}"/>
    <dgm:cxn modelId="{DC605987-F931-CD42-A053-CD6FFDC0899D}" srcId="{407574FC-1346-D042-83AA-DB8364C3845E}" destId="{1D7B8A7B-CD52-1946-9AC8-307D23BAFF59}" srcOrd="0" destOrd="0" parTransId="{56DD02A0-A505-FC40-8B68-502E3A465A18}" sibTransId="{BA1D1D33-599B-514C-81D8-10605A87D392}"/>
    <dgm:cxn modelId="{BDBA0C9A-C8E1-EA4E-BB1D-E8253D82B32C}" srcId="{407574FC-1346-D042-83AA-DB8364C3845E}" destId="{065F268C-3E0A-9046-B19D-81F45414472C}" srcOrd="1" destOrd="0" parTransId="{011BE571-FBEE-D94F-864E-628E9F4A072E}" sibTransId="{2CE38258-316D-604F-9899-7B3E60EF4445}"/>
    <dgm:cxn modelId="{4D0A20A8-FCC4-6143-8270-B550979F4855}" type="presOf" srcId="{D0A6F23F-65B5-9641-9829-AC7295F8C254}" destId="{EDF64461-8E06-8C40-975A-019DB6A386D7}" srcOrd="0" destOrd="2" presId="urn:microsoft.com/office/officeart/2005/8/layout/hProcess9"/>
    <dgm:cxn modelId="{2E9062B5-330A-1C41-BF29-4D9D1AAE0FCD}" type="presOf" srcId="{1D7B8A7B-CD52-1946-9AC8-307D23BAFF59}" destId="{59C49F4E-C86E-FD4A-81A5-F3F3DE96EC27}" srcOrd="0" destOrd="1" presId="urn:microsoft.com/office/officeart/2005/8/layout/hProcess9"/>
    <dgm:cxn modelId="{930525CF-62DB-304C-BBBE-59FB1F190EA3}" type="presOf" srcId="{AD759771-481D-2240-969E-F4A9AA50CFF4}" destId="{EDF64461-8E06-8C40-975A-019DB6A386D7}" srcOrd="0" destOrd="1" presId="urn:microsoft.com/office/officeart/2005/8/layout/hProcess9"/>
    <dgm:cxn modelId="{E28B52D7-80D8-9040-8E8D-57B3E1327D02}" type="presOf" srcId="{86278291-8C77-664F-8691-73208CED0134}" destId="{EDF64461-8E06-8C40-975A-019DB6A386D7}" srcOrd="0" destOrd="0" presId="urn:microsoft.com/office/officeart/2005/8/layout/hProcess9"/>
    <dgm:cxn modelId="{84B394DC-CD65-F54C-A8DA-5E8A5F85381A}" srcId="{DA73243E-CF10-0347-86B2-C1DAD714497A}" destId="{86278291-8C77-664F-8691-73208CED0134}" srcOrd="0" destOrd="0" parTransId="{5C3765D5-FB8A-0641-ABD8-C975BE98BC73}" sibTransId="{872BB387-6939-A545-AFB7-B4616C449743}"/>
    <dgm:cxn modelId="{A485A6F5-D250-AF44-B8EC-3474E2650EF4}" srcId="{86278291-8C77-664F-8691-73208CED0134}" destId="{AD759771-481D-2240-969E-F4A9AA50CFF4}" srcOrd="0" destOrd="0" parTransId="{74F89E95-65B3-9442-AA45-2712BEB64FD8}" sibTransId="{32D780A8-D305-8D4E-8257-2B4ABDA625E1}"/>
    <dgm:cxn modelId="{CF35FB70-099A-1C45-9860-E28E8724AA9F}" type="presParOf" srcId="{9A7882DE-3FCE-6F4F-A4B3-8D4F0A3C7470}" destId="{959E2A50-F053-A340-9FC6-963A616DA26A}" srcOrd="0" destOrd="0" presId="urn:microsoft.com/office/officeart/2005/8/layout/hProcess9"/>
    <dgm:cxn modelId="{25E20DFC-C4FB-B443-9544-7530F362E37A}" type="presParOf" srcId="{9A7882DE-3FCE-6F4F-A4B3-8D4F0A3C7470}" destId="{656DB8B0-0A7A-8042-8952-3CF89307B41D}" srcOrd="1" destOrd="0" presId="urn:microsoft.com/office/officeart/2005/8/layout/hProcess9"/>
    <dgm:cxn modelId="{1484EAAB-7FBF-2040-81E8-9C23EA7CAC94}" type="presParOf" srcId="{656DB8B0-0A7A-8042-8952-3CF89307B41D}" destId="{EDF64461-8E06-8C40-975A-019DB6A386D7}" srcOrd="0" destOrd="0" presId="urn:microsoft.com/office/officeart/2005/8/layout/hProcess9"/>
    <dgm:cxn modelId="{7099CFAF-4008-BC42-BFEB-7561A967FBF4}" type="presParOf" srcId="{656DB8B0-0A7A-8042-8952-3CF89307B41D}" destId="{BB2C2C49-3757-CB4D-B2FC-D78F349118E8}" srcOrd="1" destOrd="0" presId="urn:microsoft.com/office/officeart/2005/8/layout/hProcess9"/>
    <dgm:cxn modelId="{CC4B34A3-D0D2-4B40-B697-C9854F695863}" type="presParOf" srcId="{656DB8B0-0A7A-8042-8952-3CF89307B41D}" destId="{59C49F4E-C86E-FD4A-81A5-F3F3DE96EC27}" srcOrd="2" destOrd="0" presId="urn:microsoft.com/office/officeart/2005/8/layout/hProcess9"/>
    <dgm:cxn modelId="{8D9A7EA8-847C-5F4F-838D-7277331230D4}" type="presParOf" srcId="{656DB8B0-0A7A-8042-8952-3CF89307B41D}" destId="{A0475C97-1A56-F04D-8B8A-0F0EB86E62BA}" srcOrd="3" destOrd="0" presId="urn:microsoft.com/office/officeart/2005/8/layout/hProcess9"/>
    <dgm:cxn modelId="{707FC3CC-40BC-E446-9674-0E19B2ED3C7F}" type="presParOf" srcId="{656DB8B0-0A7A-8042-8952-3CF89307B41D}" destId="{652C8676-5948-E34F-A9C6-49D86CD1B403}" srcOrd="4" destOrd="0" presId="urn:microsoft.com/office/officeart/2005/8/layout/hProcess9"/>
  </dgm:cxnLst>
  <dgm:bg/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959E2A50-F053-A340-9FC6-963A616DA26A}">
      <dsp:nvSpPr>
        <dsp:cNvPr id="0" name=""/>
        <dsp:cNvSpPr/>
      </dsp:nvSpPr>
      <dsp:spPr>
        <a:xfrm>
          <a:off x="342574" y="0"/>
          <a:ext cx="3882514" cy="2589561"/>
        </a:xfrm>
        <a:prstGeom prst="rightArrow">
          <a:avLst/>
        </a:prstGeom>
        <a:solidFill>
          <a:schemeClr val="accent1">
            <a:tint val="40000"/>
            <a:hueOff val="0"/>
            <a:satOff val="0"/>
            <a:lumOff val="0"/>
            <a:alphaOff val="0"/>
          </a:schemeClr>
        </a:solidFill>
        <a:ln>
          <a:noFill/>
        </a:ln>
        <a:effectLst/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EDF64461-8E06-8C40-975A-019DB6A386D7}">
      <dsp:nvSpPr>
        <dsp:cNvPr id="0" name=""/>
        <dsp:cNvSpPr/>
      </dsp:nvSpPr>
      <dsp:spPr>
        <a:xfrm>
          <a:off x="4906" y="776868"/>
          <a:ext cx="1470216" cy="1035824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4770" tIns="64770" rIns="64770" bIns="64770" numCol="1" spcCol="1270" anchor="t" anchorCtr="0">
          <a:noAutofit/>
        </a:bodyPr>
        <a:lstStyle/>
        <a:p>
          <a:pPr marL="0" lvl="0" indent="0" algn="l" defTabSz="7556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700" kern="1200"/>
            <a:t>Make Money</a:t>
          </a:r>
        </a:p>
        <a:p>
          <a:pPr marL="114300" lvl="1" indent="-114300" algn="l" defTabSz="5778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US" sz="1300" kern="1200"/>
            <a:t>Work</a:t>
          </a:r>
        </a:p>
        <a:p>
          <a:pPr marL="114300" lvl="1" indent="-114300" algn="l" defTabSz="5778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US" sz="1300" kern="1200"/>
            <a:t>Ask my Mom</a:t>
          </a:r>
        </a:p>
      </dsp:txBody>
      <dsp:txXfrm>
        <a:off x="55471" y="827433"/>
        <a:ext cx="1369086" cy="934694"/>
      </dsp:txXfrm>
    </dsp:sp>
    <dsp:sp modelId="{59C49F4E-C86E-FD4A-81A5-F3F3DE96EC27}">
      <dsp:nvSpPr>
        <dsp:cNvPr id="0" name=""/>
        <dsp:cNvSpPr/>
      </dsp:nvSpPr>
      <dsp:spPr>
        <a:xfrm>
          <a:off x="1548723" y="776868"/>
          <a:ext cx="1470216" cy="1035824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4770" tIns="64770" rIns="64770" bIns="64770" numCol="1" spcCol="1270" anchor="t" anchorCtr="0">
          <a:noAutofit/>
        </a:bodyPr>
        <a:lstStyle/>
        <a:p>
          <a:pPr marL="0" lvl="0" indent="0" algn="l" defTabSz="7556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700" kern="1200"/>
            <a:t>Spend Money</a:t>
          </a:r>
        </a:p>
        <a:p>
          <a:pPr marL="114300" lvl="1" indent="-114300" algn="l" defTabSz="5778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US" sz="1300" kern="1200"/>
            <a:t>Bills</a:t>
          </a:r>
        </a:p>
        <a:p>
          <a:pPr marL="114300" lvl="1" indent="-114300" algn="l" defTabSz="5778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US" sz="1300" kern="1200"/>
            <a:t>Play</a:t>
          </a:r>
        </a:p>
      </dsp:txBody>
      <dsp:txXfrm>
        <a:off x="1599288" y="827433"/>
        <a:ext cx="1369086" cy="934694"/>
      </dsp:txXfrm>
    </dsp:sp>
    <dsp:sp modelId="{652C8676-5948-E34F-A9C6-49D86CD1B403}">
      <dsp:nvSpPr>
        <dsp:cNvPr id="0" name=""/>
        <dsp:cNvSpPr/>
      </dsp:nvSpPr>
      <dsp:spPr>
        <a:xfrm>
          <a:off x="3092540" y="776868"/>
          <a:ext cx="1470216" cy="1035824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4770" tIns="64770" rIns="64770" bIns="64770" numCol="1" spcCol="1270" anchor="ctr" anchorCtr="0">
          <a:noAutofit/>
        </a:bodyPr>
        <a:lstStyle/>
        <a:p>
          <a:pPr marL="0" lvl="0" indent="0" algn="ctr" defTabSz="7556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700" kern="1200"/>
            <a:t>Track Money</a:t>
          </a:r>
        </a:p>
      </dsp:txBody>
      <dsp:txXfrm>
        <a:off x="3143105" y="827433"/>
        <a:ext cx="1369086" cy="934694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Process9">
  <dgm:title val=""/>
  <dgm:desc val=""/>
  <dgm:catLst>
    <dgm:cat type="process" pri="5000"/>
    <dgm:cat type="convert" pri="13000"/>
  </dgm:catLst>
  <dgm:sampData useDef="1">
    <dgm:dataModel>
      <dgm:ptLst/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CompostProcess">
    <dgm:varLst>
      <dgm:dir/>
      <dgm:resizeHandles val="exact"/>
    </dgm:varLst>
    <dgm:alg type="composite">
      <dgm:param type="horzAlign" val="ctr"/>
      <dgm:param type="vertAlign" val="mid"/>
    </dgm:alg>
    <dgm:shape xmlns:r="http://schemas.openxmlformats.org/officeDocument/2006/relationships" r:blip="">
      <dgm:adjLst/>
    </dgm:shape>
    <dgm:presOf/>
    <dgm:constrLst>
      <dgm:constr type="w" for="ch" forName="arrow" refType="w" fact="0.85"/>
      <dgm:constr type="h" for="ch" forName="arrow" refType="h"/>
      <dgm:constr type="ctrX" for="ch" forName="arrow" refType="w" fact="0.5"/>
      <dgm:constr type="ctrY" for="ch" forName="arrow" refType="h" fact="0.5"/>
      <dgm:constr type="w" for="ch" forName="linearProcess" refType="w"/>
      <dgm:constr type="h" for="ch" forName="linearProcess" refType="h" fact="0.4"/>
      <dgm:constr type="ctrX" for="ch" forName="linearProcess" refType="w" fact="0.5"/>
      <dgm:constr type="ctrY" for="ch" forName="linearProcess" refType="h" fact="0.5"/>
    </dgm:constrLst>
    <dgm:ruleLst/>
    <dgm:layoutNode name="arrow" styleLbl="bgShp">
      <dgm:alg type="sp"/>
      <dgm:choose name="Name0">
        <dgm:if name="Name1" func="var" arg="dir" op="equ" val="norm">
          <dgm:shape xmlns:r="http://schemas.openxmlformats.org/officeDocument/2006/relationships" type="rightArrow" r:blip="">
            <dgm:adjLst/>
          </dgm:shape>
        </dgm:if>
        <dgm:else name="Name2">
          <dgm:shape xmlns:r="http://schemas.openxmlformats.org/officeDocument/2006/relationships" type="leftArrow" r:blip="">
            <dgm:adjLst/>
          </dgm:shape>
        </dgm:else>
      </dgm:choose>
      <dgm:presOf/>
      <dgm:constrLst/>
      <dgm:ruleLst/>
    </dgm:layoutNode>
    <dgm:layoutNode name="linearProcess">
      <dgm:choose name="Name3">
        <dgm:if name="Name4" func="var" arg="dir" op="equ" val="norm">
          <dgm:alg type="lin"/>
        </dgm:if>
        <dgm:else name="Name5">
          <dgm:alg type="lin">
            <dgm:param type="linDir" val="fromR"/>
          </dgm:alg>
        </dgm:else>
      </dgm:choose>
      <dgm:shape xmlns:r="http://schemas.openxmlformats.org/officeDocument/2006/relationships" r:blip="">
        <dgm:adjLst/>
      </dgm:shape>
      <dgm:presOf/>
      <dgm:constrLst>
        <dgm:constr type="userA" for="ch" ptType="node" refType="w"/>
        <dgm:constr type="h" for="ch" ptType="node" refType="h"/>
        <dgm:constr type="w" for="ch" ptType="node" op="equ"/>
        <dgm:constr type="w" for="ch" forName="sibTrans" refType="w" fact="0.05"/>
        <dgm:constr type="primFontSz" for="ch" ptType="node" op="equ" val="65"/>
      </dgm:constrLst>
      <dgm:ruleLst/>
      <dgm:forEach name="Name6" axis="ch" ptType="node">
        <dgm:layoutNode name="textNode" styleLbl="node1">
          <dgm:varLst>
            <dgm:bulletEnabled val="1"/>
          </dgm:varLst>
          <dgm:alg type="tx"/>
          <dgm:shape xmlns:r="http://schemas.openxmlformats.org/officeDocument/2006/relationships" type="roundRect" r:blip="">
            <dgm:adjLst/>
          </dgm:shape>
          <dgm:presOf axis="desOrSelf" ptType="node"/>
          <dgm:constrLst>
            <dgm:constr type="userA"/>
            <dgm:constr type="w" refType="userA" fact="0.3"/>
            <dgm:constr type="tMarg" refType="primFontSz" fact="0.3"/>
            <dgm:constr type="bMarg" refType="primFontSz" fact="0.3"/>
            <dgm:constr type="lMarg" refType="primFontSz" fact="0.3"/>
            <dgm:constr type="rMarg" refType="primFontSz" fact="0.3"/>
          </dgm:constrLst>
          <dgm:ruleLst>
            <dgm:rule type="w" val="NaN" fact="1" max="NaN"/>
            <dgm:rule type="primFontSz" val="5" fact="NaN" max="NaN"/>
          </dgm:ruleLst>
        </dgm:layoutNode>
        <dgm:forEach name="Name7" axis="followSib" ptType="sibTrans" cnt="1">
          <dgm:layoutNode name="sibTrans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</dgm:forEach>
      </dgm:forEach>
    </dgm:layoutNode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diagramLayout" Target="../diagrams/layout1.xml"/><Relationship Id="rId7" Type="http://schemas.openxmlformats.org/officeDocument/2006/relationships/chart" Target="../charts/chart2.xml"/><Relationship Id="rId2" Type="http://schemas.openxmlformats.org/officeDocument/2006/relationships/diagramData" Target="../diagrams/data1.xml"/><Relationship Id="rId1" Type="http://schemas.openxmlformats.org/officeDocument/2006/relationships/image" Target="../media/image1.jpeg"/><Relationship Id="rId6" Type="http://schemas.microsoft.com/office/2007/relationships/diagramDrawing" Target="../diagrams/drawing1.xml"/><Relationship Id="rId5" Type="http://schemas.openxmlformats.org/officeDocument/2006/relationships/diagramColors" Target="../diagrams/colors1.xml"/><Relationship Id="rId4" Type="http://schemas.openxmlformats.org/officeDocument/2006/relationships/diagramQuickStyle" Target="../diagrams/quickStyle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9919" cy="6073468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A4EC7B-EB95-3634-765A-5B88E09CA21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354781</xdr:colOff>
      <xdr:row>1</xdr:row>
      <xdr:rowOff>25290</xdr:rowOff>
    </xdr:from>
    <xdr:to>
      <xdr:col>1</xdr:col>
      <xdr:colOff>732025</xdr:colOff>
      <xdr:row>1</xdr:row>
      <xdr:rowOff>434155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0EDA310-33DF-B102-C71A-116343468E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0381" y="228490"/>
          <a:ext cx="377244" cy="408865"/>
        </a:xfrm>
        <a:prstGeom prst="rect">
          <a:avLst/>
        </a:prstGeom>
      </xdr:spPr>
    </xdr:pic>
    <xdr:clientData/>
  </xdr:twoCellAnchor>
  <xdr:twoCellAnchor>
    <xdr:from>
      <xdr:col>7</xdr:col>
      <xdr:colOff>100671</xdr:colOff>
      <xdr:row>3</xdr:row>
      <xdr:rowOff>298450</xdr:rowOff>
    </xdr:from>
    <xdr:to>
      <xdr:col>7</xdr:col>
      <xdr:colOff>736600</xdr:colOff>
      <xdr:row>5</xdr:row>
      <xdr:rowOff>15488</xdr:rowOff>
    </xdr:to>
    <xdr:sp macro="" textlink="">
      <xdr:nvSpPr>
        <xdr:cNvPr id="6" name="Arrow: Left 5">
          <a:extLst>
            <a:ext uri="{FF2B5EF4-FFF2-40B4-BE49-F238E27FC236}">
              <a16:creationId xmlns:a16="http://schemas.microsoft.com/office/drawing/2014/main" id="{A9FE00C3-B4F5-A8F2-7287-51EA7002A4BC}"/>
            </a:ext>
          </a:extLst>
        </xdr:cNvPr>
        <xdr:cNvSpPr/>
      </xdr:nvSpPr>
      <xdr:spPr>
        <a:xfrm>
          <a:off x="6103538" y="1195917"/>
          <a:ext cx="635929" cy="267371"/>
        </a:xfrm>
        <a:prstGeom prst="leftArrow">
          <a:avLst>
            <a:gd name="adj1" fmla="val 41168"/>
            <a:gd name="adj2" fmla="val 86180"/>
          </a:avLst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127000</xdr:colOff>
      <xdr:row>1</xdr:row>
      <xdr:rowOff>57150</xdr:rowOff>
    </xdr:from>
    <xdr:to>
      <xdr:col>6</xdr:col>
      <xdr:colOff>584200</xdr:colOff>
      <xdr:row>1</xdr:row>
      <xdr:rowOff>431800</xdr:rowOff>
    </xdr:to>
    <xdr:sp macro="" textlink="">
      <xdr:nvSpPr>
        <xdr:cNvPr id="7" name="Smiley Face 6">
          <a:extLst>
            <a:ext uri="{FF2B5EF4-FFF2-40B4-BE49-F238E27FC236}">
              <a16:creationId xmlns:a16="http://schemas.microsoft.com/office/drawing/2014/main" id="{CFD4836C-3074-417B-67F7-88BF0DACF35F}"/>
            </a:ext>
          </a:extLst>
        </xdr:cNvPr>
        <xdr:cNvSpPr/>
      </xdr:nvSpPr>
      <xdr:spPr>
        <a:xfrm>
          <a:off x="5199256" y="258491"/>
          <a:ext cx="457200" cy="374650"/>
        </a:xfrm>
        <a:prstGeom prst="smileyFace">
          <a:avLst/>
        </a:prstGeom>
        <a:solidFill>
          <a:schemeClr val="accent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164943</xdr:colOff>
      <xdr:row>19</xdr:row>
      <xdr:rowOff>6815</xdr:rowOff>
    </xdr:from>
    <xdr:to>
      <xdr:col>6</xdr:col>
      <xdr:colOff>20907</xdr:colOff>
      <xdr:row>32</xdr:row>
      <xdr:rowOff>132576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5C6069B-353C-5AA6-CA12-3FA224C34D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8</xdr:col>
      <xdr:colOff>42334</xdr:colOff>
      <xdr:row>2</xdr:row>
      <xdr:rowOff>29632</xdr:rowOff>
    </xdr:from>
    <xdr:to>
      <xdr:col>13</xdr:col>
      <xdr:colOff>550334</xdr:colOff>
      <xdr:row>14</xdr:row>
      <xdr:rowOff>173565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3A1EAC4-A673-7E3B-F4E6-FF6F988A1B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A12A-055A-DD46-B8BC-7BBA25CD28AE}">
  <dimension ref="B1:K18"/>
  <sheetViews>
    <sheetView tabSelected="1" topLeftCell="A2" zoomScale="150" zoomScaleNormal="150" workbookViewId="0">
      <selection activeCell="I16" sqref="I16"/>
    </sheetView>
  </sheetViews>
  <sheetFormatPr baseColWidth="10" defaultColWidth="10.6640625" defaultRowHeight="16" x14ac:dyDescent="0.2"/>
  <cols>
    <col min="1" max="1" width="4.6640625" customWidth="1"/>
    <col min="2" max="2" width="14.1640625" bestFit="1" customWidth="1"/>
    <col min="3" max="5" width="11.6640625" bestFit="1" customWidth="1"/>
    <col min="6" max="6" width="12.6640625" bestFit="1" customWidth="1"/>
    <col min="7" max="7" width="12.1640625" bestFit="1" customWidth="1"/>
  </cols>
  <sheetData>
    <row r="1" spans="2:11" x14ac:dyDescent="0.2">
      <c r="F1" s="7"/>
    </row>
    <row r="2" spans="2:11" ht="37" thickBot="1" x14ac:dyDescent="0.55000000000000004">
      <c r="B2" s="8" t="s">
        <v>16</v>
      </c>
      <c r="C2" s="8"/>
      <c r="D2" s="8"/>
      <c r="E2" s="8"/>
      <c r="F2" s="8"/>
      <c r="G2" s="8"/>
    </row>
    <row r="3" spans="2:11" ht="17" thickTop="1" x14ac:dyDescent="0.2"/>
    <row r="4" spans="2:11" ht="26" customHeight="1" thickBot="1" x14ac:dyDescent="0.25">
      <c r="B4" s="5" t="s">
        <v>0</v>
      </c>
      <c r="C4" s="6">
        <v>45658</v>
      </c>
      <c r="D4" s="6">
        <v>45689</v>
      </c>
      <c r="E4" s="6">
        <v>45717</v>
      </c>
      <c r="F4" s="5" t="s">
        <v>5</v>
      </c>
      <c r="G4" s="5" t="s">
        <v>10</v>
      </c>
    </row>
    <row r="5" spans="2:11" ht="17" thickTop="1" x14ac:dyDescent="0.2">
      <c r="B5" t="s">
        <v>1</v>
      </c>
      <c r="C5" s="1">
        <v>19000</v>
      </c>
      <c r="D5" s="1">
        <v>19000</v>
      </c>
      <c r="E5" s="1">
        <v>19000</v>
      </c>
      <c r="F5" s="1">
        <f t="shared" ref="F5:F12" si="0">SUM(C5:E5)</f>
        <v>57000</v>
      </c>
      <c r="G5" s="3">
        <f>(F5/$F$13)</f>
        <v>0.34915773353751917</v>
      </c>
      <c r="K5" t="s">
        <v>15</v>
      </c>
    </row>
    <row r="6" spans="2:11" x14ac:dyDescent="0.2">
      <c r="B6" t="s">
        <v>2</v>
      </c>
      <c r="C6" s="2">
        <v>600</v>
      </c>
      <c r="D6" s="2">
        <v>600</v>
      </c>
      <c r="E6" s="2">
        <v>600</v>
      </c>
      <c r="F6" s="2">
        <f t="shared" si="0"/>
        <v>1800</v>
      </c>
      <c r="G6" s="3">
        <f t="shared" ref="G6:G12" si="1">(F6/$F$13)</f>
        <v>1.1026033690658498E-2</v>
      </c>
    </row>
    <row r="7" spans="2:11" x14ac:dyDescent="0.2">
      <c r="B7" t="s">
        <v>3</v>
      </c>
      <c r="C7" s="2">
        <v>8000</v>
      </c>
      <c r="D7" s="2">
        <v>7000</v>
      </c>
      <c r="E7" s="2">
        <v>8000</v>
      </c>
      <c r="F7" s="2">
        <f t="shared" si="0"/>
        <v>23000</v>
      </c>
      <c r="G7" s="3">
        <f t="shared" si="1"/>
        <v>0.14088820826952528</v>
      </c>
    </row>
    <row r="8" spans="2:11" x14ac:dyDescent="0.2">
      <c r="B8" t="s">
        <v>4</v>
      </c>
      <c r="C8" s="2">
        <v>14000</v>
      </c>
      <c r="D8" s="2">
        <v>15000</v>
      </c>
      <c r="E8" s="2">
        <v>14000</v>
      </c>
      <c r="F8" s="2">
        <f t="shared" si="0"/>
        <v>43000</v>
      </c>
      <c r="G8" s="3">
        <f t="shared" si="1"/>
        <v>0.26339969372128635</v>
      </c>
    </row>
    <row r="9" spans="2:11" x14ac:dyDescent="0.2">
      <c r="B9" t="s">
        <v>6</v>
      </c>
      <c r="C9" s="2">
        <v>1500</v>
      </c>
      <c r="D9" s="2">
        <v>1200</v>
      </c>
      <c r="E9" s="2">
        <v>1200</v>
      </c>
      <c r="F9" s="2">
        <f t="shared" si="0"/>
        <v>3900</v>
      </c>
      <c r="G9" s="3">
        <f t="shared" si="1"/>
        <v>2.3889739663093414E-2</v>
      </c>
    </row>
    <row r="10" spans="2:11" x14ac:dyDescent="0.2">
      <c r="B10" t="s">
        <v>7</v>
      </c>
      <c r="C10" s="2">
        <v>5000</v>
      </c>
      <c r="D10" s="2">
        <v>5000</v>
      </c>
      <c r="E10" s="2">
        <v>5000</v>
      </c>
      <c r="F10" s="2">
        <f t="shared" si="0"/>
        <v>15000</v>
      </c>
      <c r="G10" s="3">
        <f t="shared" si="1"/>
        <v>9.1883614088820828E-2</v>
      </c>
    </row>
    <row r="11" spans="2:11" x14ac:dyDescent="0.2">
      <c r="B11" t="s">
        <v>8</v>
      </c>
      <c r="C11" s="2">
        <v>6000</v>
      </c>
      <c r="D11" s="2">
        <v>6000</v>
      </c>
      <c r="E11" s="2">
        <v>6000</v>
      </c>
      <c r="F11" s="2">
        <f t="shared" si="0"/>
        <v>18000</v>
      </c>
      <c r="G11" s="3">
        <f t="shared" si="1"/>
        <v>0.11026033690658499</v>
      </c>
    </row>
    <row r="12" spans="2:11" x14ac:dyDescent="0.2">
      <c r="B12" t="s">
        <v>9</v>
      </c>
      <c r="C12" s="2">
        <v>450</v>
      </c>
      <c r="D12" s="2">
        <v>500</v>
      </c>
      <c r="E12" s="2">
        <v>600</v>
      </c>
      <c r="F12" s="2">
        <f t="shared" si="0"/>
        <v>1550</v>
      </c>
      <c r="G12" s="3">
        <f t="shared" si="1"/>
        <v>9.4946401225114857E-3</v>
      </c>
    </row>
    <row r="13" spans="2:11" x14ac:dyDescent="0.2">
      <c r="B13" t="s">
        <v>5</v>
      </c>
      <c r="C13" s="1">
        <f>SUM(C5:C12)</f>
        <v>54550</v>
      </c>
      <c r="D13" s="1">
        <f t="shared" ref="D13:F13" si="2">SUM(D5:D12)</f>
        <v>54300</v>
      </c>
      <c r="E13" s="1">
        <f t="shared" si="2"/>
        <v>54400</v>
      </c>
      <c r="F13" s="1">
        <f t="shared" si="2"/>
        <v>163250</v>
      </c>
      <c r="G13" s="3">
        <f>(F13/$F$13)</f>
        <v>1</v>
      </c>
    </row>
    <row r="15" spans="2:11" x14ac:dyDescent="0.2">
      <c r="B15" s="4" t="s">
        <v>11</v>
      </c>
      <c r="C15">
        <f>MIN(C5:C12)</f>
        <v>450</v>
      </c>
      <c r="D15">
        <f>MIN(D5:D12)</f>
        <v>500</v>
      </c>
      <c r="E15">
        <f>MIN(E5:E12)</f>
        <v>600</v>
      </c>
      <c r="F15">
        <f>MIN(F5:F12)</f>
        <v>1550</v>
      </c>
    </row>
    <row r="16" spans="2:11" x14ac:dyDescent="0.2">
      <c r="B16" s="4" t="s">
        <v>12</v>
      </c>
      <c r="C16">
        <f>MAX(C5:C12)</f>
        <v>19000</v>
      </c>
      <c r="D16">
        <f>MAX(D5:D12)</f>
        <v>19000</v>
      </c>
      <c r="E16">
        <f>MAX(E5:E12)</f>
        <v>19000</v>
      </c>
      <c r="F16">
        <f>MAX(F5:F12)</f>
        <v>57000</v>
      </c>
    </row>
    <row r="17" spans="2:6" x14ac:dyDescent="0.2">
      <c r="B17" s="4" t="s">
        <v>13</v>
      </c>
      <c r="C17">
        <f>AVERAGE(C5:C12)</f>
        <v>6818.75</v>
      </c>
      <c r="D17">
        <f>AVERAGE(D5:D12)</f>
        <v>6787.5</v>
      </c>
      <c r="E17">
        <f>AVERAGE(E5:E12)</f>
        <v>6800</v>
      </c>
      <c r="F17">
        <f>AVERAGE(F5:F12)</f>
        <v>20406.25</v>
      </c>
    </row>
    <row r="18" spans="2:6" x14ac:dyDescent="0.2">
      <c r="B18" s="4" t="s">
        <v>14</v>
      </c>
      <c r="C18">
        <f>COUNT(C5:C12)</f>
        <v>8</v>
      </c>
      <c r="D18">
        <f>COUNT(D5:D12)</f>
        <v>8</v>
      </c>
      <c r="E18">
        <f>COUNT(E5:E12)</f>
        <v>8</v>
      </c>
      <c r="F18">
        <f>COUNT(F5:F12)</f>
        <v>8</v>
      </c>
    </row>
  </sheetData>
  <mergeCells count="1">
    <mergeCell ref="B2:G2"/>
  </mergeCells>
  <conditionalFormatting sqref="C5:E12">
    <cfRule type="cellIs" dxfId="0" priority="1" operator="greaterThan">
      <formula>12000</formula>
    </cfRule>
  </conditionalFormatting>
  <pageMargins left="0.7" right="0.7" top="0.75" bottom="0.75" header="0.3" footer="0.3"/>
  <pageSetup orientation="portrait" r:id="rId1"/>
  <headerFooter>
    <oddFooter>&amp;L_x000D_&amp;1#&amp;"Calibri"&amp;10&amp;K000000 Confidential- Oracle Internal</oddFooter>
  </headerFooter>
  <ignoredErrors>
    <ignoredError sqref="C13:E13 C15:E18" formulaRange="1"/>
  </ignoredErrors>
  <drawing r:id="rId2"/>
</worksheet>
</file>

<file path=docMetadata/LabelInfo.xml><?xml version="1.0" encoding="utf-8"?>
<clbl:labelList xmlns:clbl="http://schemas.microsoft.com/office/2020/mipLabelMetadata">
  <clbl:label id="{f3e58186-1c1b-4537-900b-8707ad116850}" enabled="1" method="Standard" siteId="{4e2c6054-71cb-48f1-bd6c-3a9705aca71b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Monthly Budget</vt:lpstr>
      <vt:lpstr>Chart Monthly 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 khare</dc:creator>
  <cp:lastModifiedBy>raj khare</cp:lastModifiedBy>
  <dcterms:created xsi:type="dcterms:W3CDTF">2025-11-03T23:24:51Z</dcterms:created>
  <dcterms:modified xsi:type="dcterms:W3CDTF">2025-11-29T15:41:01Z</dcterms:modified>
</cp:coreProperties>
</file>