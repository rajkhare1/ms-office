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ajkhare/Raj/Udemy/ms-office/excel/excel-101/"/>
    </mc:Choice>
  </mc:AlternateContent>
  <xr:revisionPtr revIDLastSave="0" documentId="13_ncr:1_{FD93A9C3-9192-CA49-B9F2-D0C9D83620FF}" xr6:coauthVersionLast="47" xr6:coauthVersionMax="47" xr10:uidLastSave="{00000000-0000-0000-0000-000000000000}"/>
  <bookViews>
    <workbookView xWindow="0" yWindow="680" windowWidth="29400" windowHeight="16780" xr2:uid="{61CE2942-B3C2-844E-8245-A989A6B80F58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1" l="1"/>
  <c r="F11" i="1"/>
  <c r="F10" i="1"/>
  <c r="F9" i="1"/>
  <c r="F8" i="1"/>
  <c r="F7" i="1"/>
  <c r="F6" i="1"/>
  <c r="F5" i="1"/>
  <c r="D17" i="2"/>
  <c r="C17" i="2"/>
  <c r="B17" i="2"/>
  <c r="D16" i="2"/>
  <c r="C16" i="2"/>
  <c r="B16" i="2"/>
  <c r="D15" i="2"/>
  <c r="C15" i="2"/>
  <c r="B15" i="2"/>
  <c r="D14" i="2"/>
  <c r="C14" i="2"/>
  <c r="B14" i="2"/>
  <c r="D12" i="2"/>
  <c r="C12" i="2"/>
  <c r="B12" i="2"/>
  <c r="E11" i="2"/>
  <c r="F11" i="2" s="1"/>
  <c r="F10" i="2"/>
  <c r="E10" i="2"/>
  <c r="E9" i="2"/>
  <c r="F9" i="2" s="1"/>
  <c r="E8" i="2"/>
  <c r="F8" i="2" s="1"/>
  <c r="E7" i="2"/>
  <c r="F7" i="2" s="1"/>
  <c r="F6" i="2"/>
  <c r="E6" i="2"/>
  <c r="E5" i="2"/>
  <c r="F5" i="2" s="1"/>
  <c r="E4" i="2"/>
  <c r="E17" i="2" s="1"/>
  <c r="D13" i="1"/>
  <c r="E13" i="1"/>
  <c r="C13" i="1"/>
  <c r="E17" i="1"/>
  <c r="D17" i="1"/>
  <c r="C17" i="1"/>
  <c r="E16" i="1"/>
  <c r="D16" i="1"/>
  <c r="C16" i="1"/>
  <c r="E15" i="1"/>
  <c r="D15" i="1"/>
  <c r="C15" i="1"/>
  <c r="E14" i="1"/>
  <c r="D14" i="1"/>
  <c r="C14" i="1"/>
  <c r="E16" i="2" l="1"/>
  <c r="F4" i="2"/>
  <c r="E12" i="2"/>
  <c r="F12" i="2" s="1"/>
  <c r="E14" i="2"/>
  <c r="E15" i="2"/>
  <c r="F16" i="1"/>
  <c r="F13" i="1"/>
  <c r="G13" i="1" s="1"/>
  <c r="F15" i="1"/>
  <c r="F17" i="1"/>
  <c r="F14" i="1"/>
  <c r="G8" i="1" l="1"/>
  <c r="G9" i="1"/>
  <c r="G7" i="1"/>
  <c r="G10" i="1"/>
  <c r="G11" i="1"/>
  <c r="G12" i="1"/>
  <c r="G6" i="1"/>
  <c r="G5" i="1"/>
</calcChain>
</file>

<file path=xl/sharedStrings.xml><?xml version="1.0" encoding="utf-8"?>
<sst xmlns="http://schemas.openxmlformats.org/spreadsheetml/2006/main" count="34" uniqueCount="16">
  <si>
    <t>Monthly Budget</t>
  </si>
  <si>
    <t>Bills</t>
  </si>
  <si>
    <t>Rent</t>
  </si>
  <si>
    <t>Phone</t>
  </si>
  <si>
    <t>Credit Cards</t>
  </si>
  <si>
    <t xml:space="preserve">Food </t>
  </si>
  <si>
    <t>Total</t>
  </si>
  <si>
    <t>Petrol</t>
  </si>
  <si>
    <t>Tution Fees</t>
  </si>
  <si>
    <t>Fitness</t>
  </si>
  <si>
    <t>Entertainment</t>
  </si>
  <si>
    <t>Percent</t>
  </si>
  <si>
    <t>MIN</t>
  </si>
  <si>
    <t>MAX</t>
  </si>
  <si>
    <t>AVERAGE</t>
  </si>
  <si>
    <t>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</si>
</sst>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-yyyy"/>
  </numFmts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FA12A-055A-DD46-B8BC-7BBA25CD28AE}">
  <dimension ref="B2:G17"/>
  <sheetViews>
    <sheetView tabSelected="1" zoomScale="150" zoomScaleNormal="120" workbookViewId="0">
      <selection activeCell="F1" sqref="F1:F1048576"/>
    </sheetView>
  </sheetViews>
  <sheetFormatPr baseColWidth="10" defaultRowHeight="16" x14ac:dyDescent="0.2"/>
  <cols>
    <col min="1" max="2" width="14.1640625" bestFit="1" customWidth="1"/>
    <col min="3" max="3" width="8.5" bestFit="1" customWidth="1"/>
    <col min="4" max="4" width="8.83203125" bestFit="1" customWidth="1"/>
    <col min="5" max="6" width="9.1640625" bestFit="1" customWidth="1"/>
    <col min="7" max="7" width="12.1640625" bestFit="1" customWidth="1"/>
  </cols>
  <sheetData>
    <row r="2" spans="2:7" x14ac:dyDescent="0.2">
      <c r="B2" t="s">
        <v>0</v>
      </c>
    </row>
    <row r="4" spans="2:7" x14ac:dyDescent="0.2">
      <c r="B4" t="s">
        <v>1</v>
      </c>
      <c r="C4" s="1">
        <v>45658</v>
      </c>
      <c r="D4" s="1">
        <v>45689</v>
      </c>
      <c r="E4" s="1">
        <v>45717</v>
      </c>
      <c r="F4" t="s">
        <v>6</v>
      </c>
      <c r="G4" t="s">
        <v>11</v>
      </c>
    </row>
    <row r="5" spans="2:7" x14ac:dyDescent="0.2">
      <c r="B5" t="s">
        <v>2</v>
      </c>
      <c r="C5">
        <v>19000</v>
      </c>
      <c r="D5">
        <v>19000</v>
      </c>
      <c r="E5">
        <v>19000</v>
      </c>
      <c r="F5">
        <f>SUM(C5:E5)</f>
        <v>57000</v>
      </c>
      <c r="G5">
        <f>(F5/$F$13)*100</f>
        <v>34.915773353751916</v>
      </c>
    </row>
    <row r="6" spans="2:7" x14ac:dyDescent="0.2">
      <c r="B6" t="s">
        <v>3</v>
      </c>
      <c r="C6">
        <v>600</v>
      </c>
      <c r="D6">
        <v>600</v>
      </c>
      <c r="E6">
        <v>600</v>
      </c>
      <c r="F6">
        <f>SUM(C6:E6)</f>
        <v>1800</v>
      </c>
      <c r="G6">
        <f>(F6/$F$13)*100</f>
        <v>1.1026033690658499</v>
      </c>
    </row>
    <row r="7" spans="2:7" x14ac:dyDescent="0.2">
      <c r="B7" t="s">
        <v>4</v>
      </c>
      <c r="C7">
        <v>8000</v>
      </c>
      <c r="D7">
        <v>7000</v>
      </c>
      <c r="E7">
        <v>8000</v>
      </c>
      <c r="F7">
        <f>SUM(C7:E7)</f>
        <v>23000</v>
      </c>
      <c r="G7">
        <f>(F7/$F$13)*100</f>
        <v>14.088820826952528</v>
      </c>
    </row>
    <row r="8" spans="2:7" x14ac:dyDescent="0.2">
      <c r="B8" t="s">
        <v>5</v>
      </c>
      <c r="C8">
        <v>14000</v>
      </c>
      <c r="D8">
        <v>15000</v>
      </c>
      <c r="E8">
        <v>14000</v>
      </c>
      <c r="F8">
        <f>SUM(C8:E8)</f>
        <v>43000</v>
      </c>
      <c r="G8">
        <f>(F8/$F$13)*100</f>
        <v>26.339969372128635</v>
      </c>
    </row>
    <row r="9" spans="2:7" x14ac:dyDescent="0.2">
      <c r="B9" t="s">
        <v>7</v>
      </c>
      <c r="C9">
        <v>1500</v>
      </c>
      <c r="D9">
        <v>1200</v>
      </c>
      <c r="E9">
        <v>1200</v>
      </c>
      <c r="F9">
        <f>SUM(C9:E9)</f>
        <v>3900</v>
      </c>
      <c r="G9">
        <f>(F9/$F$13)*100</f>
        <v>2.3889739663093414</v>
      </c>
    </row>
    <row r="10" spans="2:7" x14ac:dyDescent="0.2">
      <c r="B10" t="s">
        <v>8</v>
      </c>
      <c r="C10">
        <v>5000</v>
      </c>
      <c r="D10">
        <v>5000</v>
      </c>
      <c r="E10">
        <v>5000</v>
      </c>
      <c r="F10">
        <f>SUM(C10:E10)</f>
        <v>15000</v>
      </c>
      <c r="G10">
        <f>(F10/$F$13)*100</f>
        <v>9.1883614088820824</v>
      </c>
    </row>
    <row r="11" spans="2:7" x14ac:dyDescent="0.2">
      <c r="B11" t="s">
        <v>9</v>
      </c>
      <c r="C11">
        <v>6000</v>
      </c>
      <c r="D11">
        <v>6000</v>
      </c>
      <c r="E11">
        <v>6000</v>
      </c>
      <c r="F11">
        <f>SUM(C11:E11)</f>
        <v>18000</v>
      </c>
      <c r="G11">
        <f>(F11/$F$13)*100</f>
        <v>11.026033690658499</v>
      </c>
    </row>
    <row r="12" spans="2:7" x14ac:dyDescent="0.2">
      <c r="B12" t="s">
        <v>10</v>
      </c>
      <c r="C12">
        <v>450</v>
      </c>
      <c r="D12">
        <v>500</v>
      </c>
      <c r="E12">
        <v>600</v>
      </c>
      <c r="F12">
        <f>SUM(C12:E12)</f>
        <v>1550</v>
      </c>
      <c r="G12">
        <f>(F12/$F$13)*100</f>
        <v>0.94946401225114863</v>
      </c>
    </row>
    <row r="13" spans="2:7" x14ac:dyDescent="0.2">
      <c r="B13" t="s">
        <v>6</v>
      </c>
      <c r="C13">
        <f>SUM(C5:C12)</f>
        <v>54550</v>
      </c>
      <c r="D13">
        <f t="shared" ref="D13:F13" si="0">SUM(D5:D12)</f>
        <v>54300</v>
      </c>
      <c r="E13">
        <f t="shared" si="0"/>
        <v>54400</v>
      </c>
      <c r="F13">
        <f t="shared" si="0"/>
        <v>163250</v>
      </c>
      <c r="G13">
        <f>(F13/$F$13)*100</f>
        <v>100</v>
      </c>
    </row>
    <row r="14" spans="2:7" x14ac:dyDescent="0.2">
      <c r="B14" t="s">
        <v>12</v>
      </c>
      <c r="C14">
        <f>MIN(C5:C12)</f>
        <v>450</v>
      </c>
      <c r="D14">
        <f>MIN(D5:D12)</f>
        <v>500</v>
      </c>
      <c r="E14">
        <f>MIN(E5:E12)</f>
        <v>600</v>
      </c>
      <c r="F14">
        <f>MIN(F5:F12)</f>
        <v>1550</v>
      </c>
    </row>
    <row r="15" spans="2:7" x14ac:dyDescent="0.2">
      <c r="B15" t="s">
        <v>13</v>
      </c>
      <c r="C15">
        <f>MAX(C5:C12)</f>
        <v>19000</v>
      </c>
      <c r="D15">
        <f>MAX(D5:D12)</f>
        <v>19000</v>
      </c>
      <c r="E15">
        <f>MAX(E5:E12)</f>
        <v>19000</v>
      </c>
      <c r="F15">
        <f>MAX(F5:F12)</f>
        <v>57000</v>
      </c>
    </row>
    <row r="16" spans="2:7" x14ac:dyDescent="0.2">
      <c r="B16" t="s">
        <v>14</v>
      </c>
      <c r="C16">
        <f>AVERAGE(C5:C12)</f>
        <v>6818.75</v>
      </c>
      <c r="D16">
        <f>AVERAGE(D5:D12)</f>
        <v>6787.5</v>
      </c>
      <c r="E16">
        <f>AVERAGE(E5:E12)</f>
        <v>6800</v>
      </c>
      <c r="F16">
        <f>AVERAGE(F5:F12)</f>
        <v>20406.25</v>
      </c>
    </row>
    <row r="17" spans="2:6" x14ac:dyDescent="0.2">
      <c r="B17" t="s">
        <v>15</v>
      </c>
      <c r="C17">
        <f>COUNT(C5:C12)</f>
        <v>8</v>
      </c>
      <c r="D17">
        <f>COUNT(D5:D12)</f>
        <v>8</v>
      </c>
      <c r="E17">
        <f>COUNT(E5:E12)</f>
        <v>8</v>
      </c>
      <c r="F17">
        <f>COUNT(F5:F12)</f>
        <v>8</v>
      </c>
    </row>
  </sheetData>
  <pageMargins left="0.7" right="0.7" top="0.75" bottom="0.75" header="0.3" footer="0.3"/>
  <ignoredErrors>
    <ignoredError sqref="C13:E13 C14:E17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81B40-3868-B64D-BC40-E4666107B0E3}">
  <dimension ref="A1:F17"/>
  <sheetViews>
    <sheetView workbookViewId="0">
      <selection sqref="A1:F17"/>
    </sheetView>
  </sheetViews>
  <sheetFormatPr baseColWidth="10" defaultRowHeight="16" x14ac:dyDescent="0.2"/>
  <sheetData>
    <row r="1" spans="1:6" x14ac:dyDescent="0.2">
      <c r="A1" t="s">
        <v>0</v>
      </c>
    </row>
    <row r="3" spans="1:6" x14ac:dyDescent="0.2">
      <c r="A3" t="s">
        <v>1</v>
      </c>
      <c r="B3" s="1">
        <v>45658</v>
      </c>
      <c r="C3" s="1">
        <v>45689</v>
      </c>
      <c r="D3" s="1">
        <v>45717</v>
      </c>
      <c r="E3" t="s">
        <v>6</v>
      </c>
      <c r="F3" t="s">
        <v>11</v>
      </c>
    </row>
    <row r="4" spans="1:6" x14ac:dyDescent="0.2">
      <c r="A4" t="s">
        <v>2</v>
      </c>
      <c r="B4">
        <v>19000</v>
      </c>
      <c r="C4">
        <v>19000</v>
      </c>
      <c r="D4">
        <v>19000</v>
      </c>
      <c r="E4">
        <f>SUM(B4:D4)</f>
        <v>57000</v>
      </c>
      <c r="F4" t="e">
        <f>(E4/$H$14)*100</f>
        <v>#DIV/0!</v>
      </c>
    </row>
    <row r="5" spans="1:6" x14ac:dyDescent="0.2">
      <c r="A5" t="s">
        <v>3</v>
      </c>
      <c r="B5">
        <v>600</v>
      </c>
      <c r="C5">
        <v>600</v>
      </c>
      <c r="D5">
        <v>600</v>
      </c>
      <c r="E5">
        <f t="shared" ref="E5:E11" si="0">SUM(B5:D5)</f>
        <v>1800</v>
      </c>
      <c r="F5" t="e">
        <f>(E5/$H$14)*100</f>
        <v>#DIV/0!</v>
      </c>
    </row>
    <row r="6" spans="1:6" x14ac:dyDescent="0.2">
      <c r="A6" t="s">
        <v>4</v>
      </c>
      <c r="B6">
        <v>8000</v>
      </c>
      <c r="C6">
        <v>7000</v>
      </c>
      <c r="D6">
        <v>8000</v>
      </c>
      <c r="E6">
        <f t="shared" si="0"/>
        <v>23000</v>
      </c>
      <c r="F6" t="e">
        <f>(E6/$H$14)*100</f>
        <v>#DIV/0!</v>
      </c>
    </row>
    <row r="7" spans="1:6" x14ac:dyDescent="0.2">
      <c r="A7" t="s">
        <v>5</v>
      </c>
      <c r="B7">
        <v>14000</v>
      </c>
      <c r="C7">
        <v>15000</v>
      </c>
      <c r="D7">
        <v>14000</v>
      </c>
      <c r="E7">
        <f t="shared" si="0"/>
        <v>43000</v>
      </c>
      <c r="F7" t="e">
        <f>(E7/$H$14)*100</f>
        <v>#DIV/0!</v>
      </c>
    </row>
    <row r="8" spans="1:6" x14ac:dyDescent="0.2">
      <c r="A8" t="s">
        <v>7</v>
      </c>
      <c r="B8">
        <v>1500</v>
      </c>
      <c r="C8">
        <v>1200</v>
      </c>
      <c r="D8">
        <v>1200</v>
      </c>
      <c r="E8">
        <f t="shared" si="0"/>
        <v>3900</v>
      </c>
      <c r="F8" t="e">
        <f>(E8/$H$14)*100</f>
        <v>#DIV/0!</v>
      </c>
    </row>
    <row r="9" spans="1:6" x14ac:dyDescent="0.2">
      <c r="A9" t="s">
        <v>8</v>
      </c>
      <c r="B9">
        <v>5000</v>
      </c>
      <c r="C9">
        <v>5000</v>
      </c>
      <c r="D9">
        <v>5000</v>
      </c>
      <c r="E9">
        <f t="shared" si="0"/>
        <v>15000</v>
      </c>
      <c r="F9" t="e">
        <f>(E9/$H$14)*100</f>
        <v>#DIV/0!</v>
      </c>
    </row>
    <row r="10" spans="1:6" x14ac:dyDescent="0.2">
      <c r="A10" t="s">
        <v>9</v>
      </c>
      <c r="B10">
        <v>6000</v>
      </c>
      <c r="C10">
        <v>6000</v>
      </c>
      <c r="D10">
        <v>6000</v>
      </c>
      <c r="E10">
        <f t="shared" si="0"/>
        <v>18000</v>
      </c>
      <c r="F10" t="e">
        <f>(E10/$H$14)*100</f>
        <v>#DIV/0!</v>
      </c>
    </row>
    <row r="11" spans="1:6" x14ac:dyDescent="0.2">
      <c r="A11" t="s">
        <v>10</v>
      </c>
      <c r="B11">
        <v>450</v>
      </c>
      <c r="C11">
        <v>500</v>
      </c>
      <c r="D11">
        <v>600</v>
      </c>
      <c r="E11">
        <f t="shared" si="0"/>
        <v>1550</v>
      </c>
      <c r="F11" t="e">
        <f>(E11/$H$14)*100</f>
        <v>#DIV/0!</v>
      </c>
    </row>
    <row r="12" spans="1:6" x14ac:dyDescent="0.2">
      <c r="A12" t="s">
        <v>6</v>
      </c>
      <c r="B12">
        <f>SUM(B4:B11)</f>
        <v>54550</v>
      </c>
      <c r="C12">
        <f t="shared" ref="C12:E12" si="1">SUM(C4:C11)</f>
        <v>54300</v>
      </c>
      <c r="D12">
        <f t="shared" si="1"/>
        <v>54400</v>
      </c>
      <c r="E12">
        <f t="shared" si="1"/>
        <v>163250</v>
      </c>
      <c r="F12" t="e">
        <f>(E12/$H$14)*100</f>
        <v>#DIV/0!</v>
      </c>
    </row>
    <row r="14" spans="1:6" x14ac:dyDescent="0.2">
      <c r="A14" t="s">
        <v>12</v>
      </c>
      <c r="B14">
        <f>MIN(B4:B11)</f>
        <v>450</v>
      </c>
      <c r="C14">
        <f>MIN(C4:C11)</f>
        <v>500</v>
      </c>
      <c r="D14">
        <f>MIN(D4:D11)</f>
        <v>600</v>
      </c>
      <c r="E14">
        <f>MIN(E4:E11)</f>
        <v>1550</v>
      </c>
    </row>
    <row r="15" spans="1:6" x14ac:dyDescent="0.2">
      <c r="A15" t="s">
        <v>13</v>
      </c>
      <c r="B15">
        <f>MAX(B4:B11)</f>
        <v>19000</v>
      </c>
      <c r="C15">
        <f>MAX(C4:C11)</f>
        <v>19000</v>
      </c>
      <c r="D15">
        <f>MAX(D4:D11)</f>
        <v>19000</v>
      </c>
      <c r="E15">
        <f>MAX(E4:E11)</f>
        <v>57000</v>
      </c>
    </row>
    <row r="16" spans="1:6" x14ac:dyDescent="0.2">
      <c r="A16" t="s">
        <v>14</v>
      </c>
      <c r="B16">
        <f>AVERAGE(B4:B11)</f>
        <v>6818.75</v>
      </c>
      <c r="C16">
        <f>AVERAGE(C4:C11)</f>
        <v>6787.5</v>
      </c>
      <c r="D16">
        <f>AVERAGE(D4:D11)</f>
        <v>6800</v>
      </c>
      <c r="E16">
        <f>AVERAGE(E4:E11)</f>
        <v>20406.25</v>
      </c>
    </row>
    <row r="17" spans="1:5" x14ac:dyDescent="0.2">
      <c r="A17" t="s">
        <v>15</v>
      </c>
      <c r="B17">
        <f>COUNT(B4:B11)</f>
        <v>8</v>
      </c>
      <c r="C17">
        <f>COUNT(C4:C11)</f>
        <v>8</v>
      </c>
      <c r="D17">
        <f>COUNT(D4:D11)</f>
        <v>8</v>
      </c>
      <c r="E17">
        <f>COUNT(E4:E11)</f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raj khare</dc:creator>
  <cp:lastModifiedBy>raj khare</cp:lastModifiedBy>
  <dcterms:created xsi:type="dcterms:W3CDTF">2025-11-03T23:24:51Z</dcterms:created>
  <dcterms:modified xsi:type="dcterms:W3CDTF">2025-11-09T07:52:52Z</dcterms:modified>
</cp:coreProperties>
</file>