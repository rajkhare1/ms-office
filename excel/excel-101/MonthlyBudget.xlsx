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khare/Raj/Udemy/ms-office/excel/excel-101/"/>
    </mc:Choice>
  </mc:AlternateContent>
  <xr:revisionPtr revIDLastSave="0" documentId="13_ncr:1_{493BA6E0-DE8E-AD49-8FEE-B3E06BA69D7E}" xr6:coauthVersionLast="47" xr6:coauthVersionMax="47" xr10:uidLastSave="{00000000-0000-0000-0000-000000000000}"/>
  <bookViews>
    <workbookView xWindow="0" yWindow="680" windowWidth="29400" windowHeight="16720" xr2:uid="{61CE2942-B3C2-844E-8245-A989A6B80F58}"/>
  </bookViews>
  <sheets>
    <sheet name="Monthly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6" i="1"/>
  <c r="G7" i="1"/>
  <c r="G8" i="1"/>
  <c r="G9" i="1"/>
  <c r="G10" i="1"/>
  <c r="G11" i="1"/>
  <c r="G12" i="1"/>
  <c r="G5" i="1"/>
  <c r="F12" i="1"/>
  <c r="F11" i="1"/>
  <c r="F10" i="1"/>
  <c r="F9" i="1"/>
  <c r="F8" i="1"/>
  <c r="F7" i="1"/>
  <c r="F6" i="1"/>
  <c r="F5" i="1"/>
  <c r="D13" i="1"/>
  <c r="E13" i="1"/>
  <c r="C13" i="1"/>
  <c r="E18" i="1"/>
  <c r="D18" i="1"/>
  <c r="C18" i="1"/>
  <c r="E17" i="1"/>
  <c r="D17" i="1"/>
  <c r="C17" i="1"/>
  <c r="E16" i="1"/>
  <c r="D16" i="1"/>
  <c r="C16" i="1"/>
  <c r="E15" i="1"/>
  <c r="D15" i="1"/>
  <c r="C15" i="1"/>
  <c r="F17" i="1" l="1"/>
  <c r="F13" i="1"/>
  <c r="F16" i="1"/>
  <c r="F18" i="1"/>
  <c r="F15" i="1"/>
</calcChain>
</file>

<file path=xl/sharedStrings.xml><?xml version="1.0" encoding="utf-8"?>
<sst xmlns="http://schemas.openxmlformats.org/spreadsheetml/2006/main" count="17" uniqueCount="16">
  <si>
    <t>Monthly Budget</t>
  </si>
  <si>
    <t>Bills</t>
  </si>
  <si>
    <t>Rent</t>
  </si>
  <si>
    <t>Phone</t>
  </si>
  <si>
    <t>Credit Cards</t>
  </si>
  <si>
    <t xml:space="preserve">Food </t>
  </si>
  <si>
    <t>Total</t>
  </si>
  <si>
    <t>Petrol</t>
  </si>
  <si>
    <t>Tution Fees</t>
  </si>
  <si>
    <t>Fitness</t>
  </si>
  <si>
    <t>Entertainment</t>
  </si>
  <si>
    <t>Percent</t>
  </si>
  <si>
    <t>MIN</t>
  </si>
  <si>
    <t>MAX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</si>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</sst>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\-yyyy"/>
    <numFmt numFmtId="165" formatCode="_ [$₹-4009]\ * #,##0.00_ ;_ [$₹-4009]\ * \-#,##0.00_ ;_ [$₹-4009]\ * &quot;-&quot;??_ ;_ @_ "/>
    <numFmt numFmtId="166" formatCode="0.0%"/>
  </numFmts>
  <fonts count="4" x14ac:knownFonts="1">
    <font>
      <sz val="12"/>
      <color theme="1"/>
      <name val="Calibri"/>
      <family val="2"/>
      <scheme val="minor"/>
    </font>
    <font>
      <b/>
      <sz val="24"/>
      <color theme="0"/>
      <name val="Arial Black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</patternFill>
    </fill>
  </fills>
  <borders count="3">
    <border>
      <left/>
      <right/>
      <top/>
      <bottom/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4" borderId="2" applyNumberFormat="0"/>
  </cellStyleXfs>
  <cellXfs count="9">
    <xf numFmtId="0" fontId="0" fillId="0" borderId="0" xfId="0"/>
    <xf numFmtId="165" fontId="0" fillId="0" borderId="0" xfId="0" applyNumberFormat="1"/>
    <xf numFmtId="43" fontId="0" fillId="0" borderId="0" xfId="1" applyFont="1"/>
    <xf numFmtId="166" fontId="0" fillId="0" borderId="0" xfId="2" applyNumberFormat="1" applyFont="1"/>
    <xf numFmtId="0" fontId="3" fillId="3" borderId="0" xfId="0" applyFont="1" applyFill="1" applyAlignment="1">
      <alignment horizontal="right"/>
    </xf>
    <xf numFmtId="0" fontId="3" fillId="4" borderId="2" xfId="3"/>
    <xf numFmtId="164" fontId="3" fillId="4" borderId="2" xfId="3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AwesomeStyle" xfId="3" xr:uid="{0FC19754-6B15-7D41-8A87-4B406E4C2DC9}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A12A-055A-DD46-B8BC-7BBA25CD28AE}">
  <dimension ref="B1:G18"/>
  <sheetViews>
    <sheetView tabSelected="1" zoomScale="150" zoomScaleNormal="120" workbookViewId="0">
      <selection activeCell="D14" sqref="D14"/>
    </sheetView>
  </sheetViews>
  <sheetFormatPr baseColWidth="10" defaultRowHeight="16" x14ac:dyDescent="0.2"/>
  <cols>
    <col min="1" max="1" width="4.6640625" customWidth="1"/>
    <col min="2" max="2" width="14.1640625" bestFit="1" customWidth="1"/>
    <col min="3" max="5" width="11.6640625" bestFit="1" customWidth="1"/>
    <col min="6" max="6" width="12.6640625" bestFit="1" customWidth="1"/>
    <col min="7" max="7" width="12.1640625" bestFit="1" customWidth="1"/>
  </cols>
  <sheetData>
    <row r="1" spans="2:7" x14ac:dyDescent="0.2">
      <c r="F1" s="8"/>
    </row>
    <row r="2" spans="2:7" ht="37" thickBot="1" x14ac:dyDescent="0.55000000000000004">
      <c r="B2" s="7" t="s">
        <v>0</v>
      </c>
      <c r="C2" s="7"/>
      <c r="D2" s="7"/>
      <c r="E2" s="7"/>
      <c r="F2" s="7"/>
      <c r="G2" s="7"/>
    </row>
    <row r="3" spans="2:7" ht="17" thickTop="1" x14ac:dyDescent="0.2"/>
    <row r="4" spans="2:7" ht="26" customHeight="1" thickBot="1" x14ac:dyDescent="0.25">
      <c r="B4" s="5" t="s">
        <v>1</v>
      </c>
      <c r="C4" s="6">
        <v>45658</v>
      </c>
      <c r="D4" s="6">
        <v>45689</v>
      </c>
      <c r="E4" s="6">
        <v>45717</v>
      </c>
      <c r="F4" s="5" t="s">
        <v>6</v>
      </c>
      <c r="G4" s="5" t="s">
        <v>11</v>
      </c>
    </row>
    <row r="5" spans="2:7" ht="17" thickTop="1" x14ac:dyDescent="0.2">
      <c r="B5" t="s">
        <v>2</v>
      </c>
      <c r="C5" s="1">
        <v>19000</v>
      </c>
      <c r="D5" s="1">
        <v>19000</v>
      </c>
      <c r="E5" s="1">
        <v>19000</v>
      </c>
      <c r="F5" s="1">
        <f t="shared" ref="F5:F12" si="0">SUM(C5:E5)</f>
        <v>57000</v>
      </c>
      <c r="G5" s="3">
        <f>(F5/$F$13)</f>
        <v>0.34915773353751917</v>
      </c>
    </row>
    <row r="6" spans="2:7" x14ac:dyDescent="0.2">
      <c r="B6" t="s">
        <v>3</v>
      </c>
      <c r="C6" s="2">
        <v>600</v>
      </c>
      <c r="D6" s="2">
        <v>600</v>
      </c>
      <c r="E6" s="2">
        <v>600</v>
      </c>
      <c r="F6" s="2">
        <f t="shared" si="0"/>
        <v>1800</v>
      </c>
      <c r="G6" s="3">
        <f t="shared" ref="G6:G12" si="1">(F6/$F$13)</f>
        <v>1.1026033690658498E-2</v>
      </c>
    </row>
    <row r="7" spans="2:7" x14ac:dyDescent="0.2">
      <c r="B7" t="s">
        <v>4</v>
      </c>
      <c r="C7" s="2">
        <v>8000</v>
      </c>
      <c r="D7" s="2">
        <v>7000</v>
      </c>
      <c r="E7" s="2">
        <v>8000</v>
      </c>
      <c r="F7" s="2">
        <f t="shared" si="0"/>
        <v>23000</v>
      </c>
      <c r="G7" s="3">
        <f t="shared" si="1"/>
        <v>0.14088820826952528</v>
      </c>
    </row>
    <row r="8" spans="2:7" x14ac:dyDescent="0.2">
      <c r="B8" t="s">
        <v>5</v>
      </c>
      <c r="C8" s="2">
        <v>14000</v>
      </c>
      <c r="D8" s="2">
        <v>15000</v>
      </c>
      <c r="E8" s="2">
        <v>14000</v>
      </c>
      <c r="F8" s="2">
        <f t="shared" si="0"/>
        <v>43000</v>
      </c>
      <c r="G8" s="3">
        <f t="shared" si="1"/>
        <v>0.26339969372128635</v>
      </c>
    </row>
    <row r="9" spans="2:7" x14ac:dyDescent="0.2">
      <c r="B9" t="s">
        <v>7</v>
      </c>
      <c r="C9" s="2">
        <v>1500</v>
      </c>
      <c r="D9" s="2">
        <v>1200</v>
      </c>
      <c r="E9" s="2">
        <v>1200</v>
      </c>
      <c r="F9" s="2">
        <f t="shared" si="0"/>
        <v>3900</v>
      </c>
      <c r="G9" s="3">
        <f t="shared" si="1"/>
        <v>2.3889739663093414E-2</v>
      </c>
    </row>
    <row r="10" spans="2:7" x14ac:dyDescent="0.2">
      <c r="B10" t="s">
        <v>8</v>
      </c>
      <c r="C10" s="2">
        <v>5000</v>
      </c>
      <c r="D10" s="2">
        <v>5000</v>
      </c>
      <c r="E10" s="2">
        <v>5000</v>
      </c>
      <c r="F10" s="2">
        <f t="shared" si="0"/>
        <v>15000</v>
      </c>
      <c r="G10" s="3">
        <f t="shared" si="1"/>
        <v>9.1883614088820828E-2</v>
      </c>
    </row>
    <row r="11" spans="2:7" x14ac:dyDescent="0.2">
      <c r="B11" t="s">
        <v>9</v>
      </c>
      <c r="C11" s="2">
        <v>6000</v>
      </c>
      <c r="D11" s="2">
        <v>6000</v>
      </c>
      <c r="E11" s="2">
        <v>6000</v>
      </c>
      <c r="F11" s="2">
        <f t="shared" si="0"/>
        <v>18000</v>
      </c>
      <c r="G11" s="3">
        <f t="shared" si="1"/>
        <v>0.11026033690658499</v>
      </c>
    </row>
    <row r="12" spans="2:7" x14ac:dyDescent="0.2">
      <c r="B12" t="s">
        <v>10</v>
      </c>
      <c r="C12" s="2">
        <v>450</v>
      </c>
      <c r="D12" s="2">
        <v>500</v>
      </c>
      <c r="E12" s="2">
        <v>600</v>
      </c>
      <c r="F12" s="2">
        <f t="shared" si="0"/>
        <v>1550</v>
      </c>
      <c r="G12" s="3">
        <f t="shared" si="1"/>
        <v>9.4946401225114857E-3</v>
      </c>
    </row>
    <row r="13" spans="2:7" x14ac:dyDescent="0.2">
      <c r="B13" t="s">
        <v>6</v>
      </c>
      <c r="C13" s="1">
        <f>SUM(C5:C12)</f>
        <v>54550</v>
      </c>
      <c r="D13" s="1">
        <f t="shared" ref="D13:F13" si="2">SUM(D5:D12)</f>
        <v>54300</v>
      </c>
      <c r="E13" s="1">
        <f t="shared" si="2"/>
        <v>54400</v>
      </c>
      <c r="F13" s="1">
        <f t="shared" si="2"/>
        <v>163250</v>
      </c>
      <c r="G13" s="3">
        <f>(F13/$F$13)</f>
        <v>1</v>
      </c>
    </row>
    <row r="15" spans="2:7" x14ac:dyDescent="0.2">
      <c r="B15" s="4" t="s">
        <v>12</v>
      </c>
      <c r="C15">
        <f>MIN(C5:C12)</f>
        <v>450</v>
      </c>
      <c r="D15">
        <f>MIN(D5:D12)</f>
        <v>500</v>
      </c>
      <c r="E15">
        <f>MIN(E5:E12)</f>
        <v>600</v>
      </c>
      <c r="F15">
        <f>MIN(F5:F12)</f>
        <v>1550</v>
      </c>
    </row>
    <row r="16" spans="2:7" x14ac:dyDescent="0.2">
      <c r="B16" s="4" t="s">
        <v>13</v>
      </c>
      <c r="C16">
        <f>MAX(C5:C12)</f>
        <v>19000</v>
      </c>
      <c r="D16">
        <f>MAX(D5:D12)</f>
        <v>19000</v>
      </c>
      <c r="E16">
        <f>MAX(E5:E12)</f>
        <v>19000</v>
      </c>
      <c r="F16">
        <f>MAX(F5:F12)</f>
        <v>57000</v>
      </c>
    </row>
    <row r="17" spans="2:6" x14ac:dyDescent="0.2">
      <c r="B17" s="4" t="s">
        <v>14</v>
      </c>
      <c r="C17">
        <f>AVERAGE(C5:C12)</f>
        <v>6818.75</v>
      </c>
      <c r="D17">
        <f>AVERAGE(D5:D12)</f>
        <v>6787.5</v>
      </c>
      <c r="E17">
        <f>AVERAGE(E5:E12)</f>
        <v>6800</v>
      </c>
      <c r="F17">
        <f>AVERAGE(F5:F12)</f>
        <v>20406.25</v>
      </c>
    </row>
    <row r="18" spans="2:6" x14ac:dyDescent="0.2">
      <c r="B18" s="4" t="s">
        <v>15</v>
      </c>
      <c r="C18">
        <f>COUNT(C5:C12)</f>
        <v>8</v>
      </c>
      <c r="D18">
        <f>COUNT(D5:D12)</f>
        <v>8</v>
      </c>
      <c r="E18">
        <f>COUNT(E5:E12)</f>
        <v>8</v>
      </c>
      <c r="F18">
        <f>COUNT(F5:F12)</f>
        <v>8</v>
      </c>
    </row>
  </sheetData>
  <mergeCells count="1">
    <mergeCell ref="B2:G2"/>
  </mergeCells>
  <pageMargins left="0.7" right="0.7" top="0.75" bottom="0.75" header="0.3" footer="0.3"/>
  <ignoredErrors>
    <ignoredError sqref="C13:E13 C15:E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khare</dc:creator>
  <cp:lastModifiedBy>raj khare</cp:lastModifiedBy>
  <dcterms:created xsi:type="dcterms:W3CDTF">2025-11-03T23:24:51Z</dcterms:created>
  <dcterms:modified xsi:type="dcterms:W3CDTF">2025-11-16T23:09:29Z</dcterms:modified>
</cp:coreProperties>
</file>